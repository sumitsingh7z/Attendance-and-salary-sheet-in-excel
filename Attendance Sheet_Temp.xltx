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1_{CD219610-E90D-4FFF-9CB9-CC651F0DDF68}" xr6:coauthVersionLast="41" xr6:coauthVersionMax="41" xr10:uidLastSave="{00000000-0000-0000-0000-000000000000}"/>
  <bookViews>
    <workbookView xWindow="-108" yWindow="-108" windowWidth="23256" windowHeight="12456" activeTab="1" xr2:uid="{5639E26A-5FD3-4A12-9BA9-EF336823DA9B}"/>
  </bookViews>
  <sheets>
    <sheet name="Other" sheetId="1" r:id="rId1"/>
    <sheet name="Attendance Sheet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3" l="1"/>
  <c r="M1" i="3" s="1"/>
  <c r="C3" i="3" l="1"/>
  <c r="D3" i="3" l="1"/>
  <c r="C4" i="3"/>
  <c r="E3" i="3" l="1"/>
  <c r="D4" i="3"/>
  <c r="F3" i="3" l="1"/>
  <c r="E4" i="3"/>
  <c r="G3" i="3" l="1"/>
  <c r="F4" i="3"/>
  <c r="H3" i="3" l="1"/>
  <c r="G4" i="3"/>
  <c r="I3" i="3" l="1"/>
  <c r="H4" i="3"/>
  <c r="J3" i="3" l="1"/>
  <c r="I4" i="3"/>
  <c r="K3" i="3" l="1"/>
  <c r="J4" i="3"/>
  <c r="L3" i="3" l="1"/>
  <c r="K4" i="3"/>
  <c r="M3" i="3" l="1"/>
  <c r="L4" i="3"/>
  <c r="N3" i="3" l="1"/>
  <c r="M4" i="3"/>
  <c r="O3" i="3" l="1"/>
  <c r="N4" i="3"/>
  <c r="P3" i="3" l="1"/>
  <c r="O4" i="3"/>
  <c r="Q3" i="3" l="1"/>
  <c r="P4" i="3"/>
  <c r="R3" i="3" l="1"/>
  <c r="Q4" i="3"/>
  <c r="S3" i="3" l="1"/>
  <c r="R4" i="3"/>
  <c r="T3" i="3" l="1"/>
  <c r="S4" i="3"/>
  <c r="U3" i="3" l="1"/>
  <c r="T4" i="3"/>
  <c r="V3" i="3" l="1"/>
  <c r="U4" i="3"/>
  <c r="W3" i="3" l="1"/>
  <c r="V4" i="3"/>
  <c r="X3" i="3" l="1"/>
  <c r="W4" i="3"/>
  <c r="Y3" i="3" l="1"/>
  <c r="X4" i="3"/>
  <c r="Z3" i="3" l="1"/>
  <c r="Y4" i="3"/>
  <c r="AA3" i="3" l="1"/>
  <c r="Z4" i="3"/>
  <c r="AB3" i="3" l="1"/>
  <c r="AA4" i="3"/>
  <c r="AC3" i="3" l="1"/>
  <c r="AB4" i="3"/>
  <c r="AD3" i="3" l="1"/>
  <c r="AC4" i="3"/>
  <c r="AE3" i="3" l="1"/>
  <c r="AD4" i="3"/>
  <c r="AF3" i="3" l="1"/>
  <c r="AE4" i="3"/>
  <c r="AG3" i="3" l="1"/>
  <c r="AG4" i="3" s="1"/>
  <c r="AF4" i="3"/>
</calcChain>
</file>

<file path=xl/sharedStrings.xml><?xml version="1.0" encoding="utf-8"?>
<sst xmlns="http://schemas.openxmlformats.org/spreadsheetml/2006/main" count="93" uniqueCount="56">
  <si>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</si>
  <si>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</si>
  <si>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</si>
  <si>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</si>
  <si>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</si>
  <si>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</si>
  <si>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</si>
  <si>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</si>
  <si>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</si>
  <si>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</si>
  <si>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</si>
  <si>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</si>
  <si>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</si>
  <si>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</t>
  </si>
  <si>
    <t>AS2102</t>
  </si>
  <si>
    <t>Bijal Pande</t>
  </si>
  <si>
    <t>AS2103</t>
  </si>
  <si>
    <t>Chirag Sharma</t>
  </si>
  <si>
    <t>AS2104</t>
  </si>
  <si>
    <t>Divya Soni</t>
  </si>
  <si>
    <t>AS2105</t>
  </si>
  <si>
    <t>Erum Rastogi</t>
  </si>
  <si>
    <t>AS2106</t>
  </si>
  <si>
    <t>Farhan Patel</t>
  </si>
  <si>
    <t>AS2107</t>
  </si>
  <si>
    <t>Geet Sahu</t>
  </si>
  <si>
    <t>AS2108</t>
  </si>
  <si>
    <t>Himesh Surya</t>
  </si>
  <si>
    <t>AS2109</t>
  </si>
  <si>
    <t>Imran Abha</t>
  </si>
  <si>
    <t>AS2110</t>
  </si>
  <si>
    <t>Jitendra Pande</t>
  </si>
  <si>
    <t>AS2111</t>
  </si>
  <si>
    <t>Kailash Rane</t>
  </si>
  <si>
    <t>AS2112</t>
  </si>
  <si>
    <t>Luv Patel</t>
  </si>
  <si>
    <t>AS2113</t>
  </si>
  <si>
    <t>Manoj Bhide</t>
  </si>
  <si>
    <t>AS2114</t>
  </si>
  <si>
    <t>Nancy Pastor</t>
  </si>
  <si>
    <t>AS2115</t>
  </si>
  <si>
    <t>Omar Shaikh</t>
  </si>
  <si>
    <t>AS2116</t>
  </si>
  <si>
    <t>Preetam Chavla</t>
  </si>
  <si>
    <t>AS2117</t>
  </si>
  <si>
    <t>Ram Vihaan</t>
  </si>
  <si>
    <t>AS2118</t>
  </si>
  <si>
    <t>Sunil Upadhay</t>
  </si>
  <si>
    <t>AS2119</t>
  </si>
  <si>
    <t>Tirth Chobe</t>
  </si>
  <si>
    <t>AS2120</t>
  </si>
  <si>
    <t>Umesh Bajrang</t>
  </si>
  <si>
    <t>Employee UID</t>
  </si>
  <si>
    <t>Employee Name</t>
  </si>
  <si>
    <t>P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</si>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</sst>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1" xfId="0" applyFont="1" applyFill="1" applyBorder="1"/>
    <xf numFmtId="164" fontId="1" fillId="2" borderId="0" xfId="0" applyNumberFormat="1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0" fillId="0" borderId="1" xfId="0" applyBorder="1"/>
    <xf numFmtId="0" fontId="3" fillId="0" borderId="8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textRotation="90"/>
    </xf>
    <xf numFmtId="16" fontId="2" fillId="4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/>
        <i val="0"/>
      </font>
      <fill>
        <patternFill>
          <bgColor rgb="FFC00000"/>
        </patternFill>
      </fill>
    </dxf>
    <dxf>
      <font>
        <b/>
        <i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90DD4-4684-4A1C-94DE-34DF3FB6DE32}">
  <dimension ref="A1:A12"/>
  <sheetViews>
    <sheetView workbookViewId="0">
      <selection activeCell="G12" sqref="G12"/>
    </sheetView>
  </sheetViews>
  <sheetFormatPr defaultRowHeight="14.4" x14ac:dyDescent="0.3"/>
  <cols>
    <col min="1" max="1" width="9.77734375" bestFit="1" customWidth="1"/>
  </cols>
  <sheetData>
    <row r="1" spans="1:1" x14ac:dyDescent="0.3">
      <c r="A1" t="s">
        <v>1</v>
      </c>
    </row>
    <row r="2" spans="1:1" x14ac:dyDescent="0.3">
      <c r="A2" t="s">
        <v>2</v>
      </c>
    </row>
    <row r="3" spans="1:1" x14ac:dyDescent="0.3">
      <c r="A3" t="s">
        <v>3</v>
      </c>
    </row>
    <row r="4" spans="1:1" x14ac:dyDescent="0.3">
      <c r="A4" t="s">
        <v>4</v>
      </c>
    </row>
    <row r="5" spans="1:1" x14ac:dyDescent="0.3">
      <c r="A5" t="s">
        <v>5</v>
      </c>
    </row>
    <row r="6" spans="1:1" x14ac:dyDescent="0.3">
      <c r="A6" t="s">
        <v>6</v>
      </c>
    </row>
    <row r="7" spans="1:1" x14ac:dyDescent="0.3">
      <c r="A7" t="s">
        <v>7</v>
      </c>
    </row>
    <row r="8" spans="1:1" x14ac:dyDescent="0.3">
      <c r="A8" t="s">
        <v>8</v>
      </c>
    </row>
    <row r="9" spans="1:1" x14ac:dyDescent="0.3">
      <c r="A9" t="s">
        <v>9</v>
      </c>
    </row>
    <row r="10" spans="1:1" x14ac:dyDescent="0.3">
      <c r="A10" t="s">
        <v>10</v>
      </c>
    </row>
    <row r="11" spans="1:1" x14ac:dyDescent="0.3">
      <c r="A11" t="s">
        <v>11</v>
      </c>
    </row>
    <row r="12" spans="1:1" x14ac:dyDescent="0.3">
      <c r="A12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8ABC3-145B-46CA-B55C-848A94677FE4}">
  <dimension ref="A1:AG23"/>
  <sheetViews>
    <sheetView tabSelected="1" zoomScale="91" zoomScaleNormal="91" workbookViewId="0">
      <selection activeCell="E26" sqref="E26"/>
    </sheetView>
  </sheetViews>
  <sheetFormatPr defaultRowHeight="14.4" x14ac:dyDescent="0.3"/>
  <cols>
    <col min="1" max="1" width="12.88671875" bestFit="1" customWidth="1"/>
    <col min="2" max="2" width="13.88671875" bestFit="1" customWidth="1"/>
    <col min="3" max="30" width="7.109375" bestFit="1" customWidth="1"/>
    <col min="31" max="31" width="7.21875" customWidth="1"/>
    <col min="32" max="32" width="7.21875" bestFit="1" customWidth="1"/>
  </cols>
  <sheetData>
    <row r="1" spans="1:33" x14ac:dyDescent="0.3">
      <c r="A1" s="1" t="s">
        <v>0</v>
      </c>
      <c r="B1" s="3" t="s">
        <v>1</v>
      </c>
      <c r="I1" s="5">
        <f>DATEVALUE("1"&amp;B1&amp;"2026")</f>
        <v>46023</v>
      </c>
      <c r="J1" s="4"/>
      <c r="K1" s="4"/>
      <c r="L1" s="2" t="s">
        <v>13</v>
      </c>
      <c r="M1" s="4">
        <f>EOMONTH(I1,0)</f>
        <v>46053</v>
      </c>
      <c r="N1" s="4"/>
      <c r="O1" s="4"/>
    </row>
    <row r="3" spans="1:33" x14ac:dyDescent="0.3">
      <c r="A3" s="7" t="s">
        <v>52</v>
      </c>
      <c r="B3" s="9" t="s">
        <v>53</v>
      </c>
      <c r="C3" s="14">
        <f>I1</f>
        <v>46023</v>
      </c>
      <c r="D3" s="14">
        <f>IF(C3&lt;$M$1,C3+1,"")</f>
        <v>46024</v>
      </c>
      <c r="E3" s="14">
        <f>IF(D3&lt;$M$1,D3+1,"")</f>
        <v>46025</v>
      </c>
      <c r="F3" s="14">
        <f>IF(E3&lt;$M$1,E3+1,"")</f>
        <v>46026</v>
      </c>
      <c r="G3" s="14">
        <f>IF(F3&lt;$M$1,F3+1,"")</f>
        <v>46027</v>
      </c>
      <c r="H3" s="14">
        <f>IF(G3&lt;$M$1,G3+1,"")</f>
        <v>46028</v>
      </c>
      <c r="I3" s="14">
        <f>IF(H3&lt;$M$1,H3+1,"")</f>
        <v>46029</v>
      </c>
      <c r="J3" s="14">
        <f>IF(I3&lt;$M$1,I3+1,"")</f>
        <v>46030</v>
      </c>
      <c r="K3" s="14">
        <f>IF(J3&lt;$M$1,J3+1,"")</f>
        <v>46031</v>
      </c>
      <c r="L3" s="14">
        <f>IF(K3&lt;$M$1,K3+1,"")</f>
        <v>46032</v>
      </c>
      <c r="M3" s="14">
        <f>IF(L3&lt;$M$1,L3+1,"")</f>
        <v>46033</v>
      </c>
      <c r="N3" s="14">
        <f>IF(M3&lt;$M$1,M3+1,"")</f>
        <v>46034</v>
      </c>
      <c r="O3" s="14">
        <f>IF(N3&lt;$M$1,N3+1,"")</f>
        <v>46035</v>
      </c>
      <c r="P3" s="14">
        <f>IF(O3&lt;$M$1,O3+1,"")</f>
        <v>46036</v>
      </c>
      <c r="Q3" s="14">
        <f>IF(P3&lt;$M$1,P3+1,"")</f>
        <v>46037</v>
      </c>
      <c r="R3" s="14">
        <f>IF(Q3&lt;$M$1,Q3+1,"")</f>
        <v>46038</v>
      </c>
      <c r="S3" s="14">
        <f>IF(R3&lt;$M$1,R3+1,"")</f>
        <v>46039</v>
      </c>
      <c r="T3" s="14">
        <f>IF(S3&lt;$M$1,S3+1,"")</f>
        <v>46040</v>
      </c>
      <c r="U3" s="14">
        <f>IF(T3&lt;$M$1,T3+1,"")</f>
        <v>46041</v>
      </c>
      <c r="V3" s="14">
        <f>IF(U3&lt;$M$1,U3+1,"")</f>
        <v>46042</v>
      </c>
      <c r="W3" s="14">
        <f>IF(V3&lt;$M$1,V3+1,"")</f>
        <v>46043</v>
      </c>
      <c r="X3" s="14">
        <f>IF(W3&lt;$M$1,W3+1,"")</f>
        <v>46044</v>
      </c>
      <c r="Y3" s="14">
        <f>IF(X3&lt;$M$1,X3+1,"")</f>
        <v>46045</v>
      </c>
      <c r="Z3" s="14">
        <f>IF(Y3&lt;$M$1,Y3+1,"")</f>
        <v>46046</v>
      </c>
      <c r="AA3" s="14">
        <f>IF(Z3&lt;$M$1,Z3+1,"")</f>
        <v>46047</v>
      </c>
      <c r="AB3" s="14">
        <f>IF(AA3&lt;$M$1,AA3+1,"")</f>
        <v>46048</v>
      </c>
      <c r="AC3" s="14">
        <f>IF(AB3&lt;$M$1,AB3+1,"")</f>
        <v>46049</v>
      </c>
      <c r="AD3" s="14">
        <f>IF(AC3&lt;$M$1,AC3+1,"")</f>
        <v>46050</v>
      </c>
      <c r="AE3" s="14">
        <f>IF(AD3&lt;$M$1,AD3+1,"")</f>
        <v>46051</v>
      </c>
      <c r="AF3" s="14">
        <f>IF(AE3&lt;$M$1,AE3+1,"")</f>
        <v>46052</v>
      </c>
      <c r="AG3" s="14">
        <f>IF(AF3&lt;$M$1,AF3+1,"")</f>
        <v>46053</v>
      </c>
    </row>
    <row r="4" spans="1:33" ht="27" x14ac:dyDescent="0.3">
      <c r="A4" s="8"/>
      <c r="B4" s="10"/>
      <c r="C4" s="13" t="str">
        <f>TEXT(C3,"DDD")</f>
        <v>Thu</v>
      </c>
      <c r="D4" s="13" t="str">
        <f t="shared" ref="D4:AG4" si="0">TEXT(D3,"DDD")</f>
        <v>Fri</v>
      </c>
      <c r="E4" s="13" t="str">
        <f t="shared" si="0"/>
        <v>Sat</v>
      </c>
      <c r="F4" s="13" t="str">
        <f t="shared" si="0"/>
        <v>Sun</v>
      </c>
      <c r="G4" s="13" t="str">
        <f t="shared" si="0"/>
        <v>Mon</v>
      </c>
      <c r="H4" s="13" t="str">
        <f t="shared" si="0"/>
        <v>Tue</v>
      </c>
      <c r="I4" s="13" t="str">
        <f t="shared" si="0"/>
        <v>Wed</v>
      </c>
      <c r="J4" s="13" t="str">
        <f t="shared" si="0"/>
        <v>Thu</v>
      </c>
      <c r="K4" s="13" t="str">
        <f t="shared" si="0"/>
        <v>Fri</v>
      </c>
      <c r="L4" s="13" t="str">
        <f t="shared" si="0"/>
        <v>Sat</v>
      </c>
      <c r="M4" s="13" t="str">
        <f t="shared" si="0"/>
        <v>Sun</v>
      </c>
      <c r="N4" s="13" t="str">
        <f t="shared" si="0"/>
        <v>Mon</v>
      </c>
      <c r="O4" s="13" t="str">
        <f t="shared" si="0"/>
        <v>Tue</v>
      </c>
      <c r="P4" s="13" t="str">
        <f t="shared" si="0"/>
        <v>Wed</v>
      </c>
      <c r="Q4" s="13" t="str">
        <f t="shared" si="0"/>
        <v>Thu</v>
      </c>
      <c r="R4" s="13" t="str">
        <f t="shared" si="0"/>
        <v>Fri</v>
      </c>
      <c r="S4" s="13" t="str">
        <f t="shared" si="0"/>
        <v>Sat</v>
      </c>
      <c r="T4" s="13" t="str">
        <f t="shared" si="0"/>
        <v>Sun</v>
      </c>
      <c r="U4" s="13" t="str">
        <f t="shared" si="0"/>
        <v>Mon</v>
      </c>
      <c r="V4" s="13" t="str">
        <f t="shared" si="0"/>
        <v>Tue</v>
      </c>
      <c r="W4" s="13" t="str">
        <f t="shared" si="0"/>
        <v>Wed</v>
      </c>
      <c r="X4" s="13" t="str">
        <f t="shared" si="0"/>
        <v>Thu</v>
      </c>
      <c r="Y4" s="13" t="str">
        <f t="shared" si="0"/>
        <v>Fri</v>
      </c>
      <c r="Z4" s="13" t="str">
        <f t="shared" si="0"/>
        <v>Sat</v>
      </c>
      <c r="AA4" s="13" t="str">
        <f t="shared" si="0"/>
        <v>Sun</v>
      </c>
      <c r="AB4" s="13" t="str">
        <f t="shared" si="0"/>
        <v>Mon</v>
      </c>
      <c r="AC4" s="13" t="str">
        <f t="shared" si="0"/>
        <v>Tue</v>
      </c>
      <c r="AD4" s="13" t="str">
        <f t="shared" si="0"/>
        <v>Wed</v>
      </c>
      <c r="AE4" s="13" t="str">
        <f t="shared" si="0"/>
        <v>Thu</v>
      </c>
      <c r="AF4" s="13" t="str">
        <f t="shared" si="0"/>
        <v>Fri</v>
      </c>
      <c r="AG4" s="13" t="str">
        <f t="shared" si="0"/>
        <v>Sat</v>
      </c>
    </row>
    <row r="5" spans="1:33" x14ac:dyDescent="0.3">
      <c r="A5" s="6" t="s">
        <v>14</v>
      </c>
      <c r="B5" s="12" t="s">
        <v>15</v>
      </c>
      <c r="C5" s="11" t="s">
        <v>54</v>
      </c>
      <c r="D5" s="11" t="s">
        <v>55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</row>
    <row r="6" spans="1:33" x14ac:dyDescent="0.3">
      <c r="A6" s="6" t="s">
        <v>16</v>
      </c>
      <c r="B6" s="12" t="s">
        <v>17</v>
      </c>
      <c r="C6" s="11" t="s">
        <v>54</v>
      </c>
      <c r="D6" s="11" t="s">
        <v>55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</row>
    <row r="7" spans="1:33" x14ac:dyDescent="0.3">
      <c r="A7" s="6" t="s">
        <v>18</v>
      </c>
      <c r="B7" s="12" t="s">
        <v>19</v>
      </c>
      <c r="C7" s="11" t="s">
        <v>54</v>
      </c>
      <c r="D7" s="11" t="s">
        <v>55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</row>
    <row r="8" spans="1:33" x14ac:dyDescent="0.3">
      <c r="A8" s="6" t="s">
        <v>20</v>
      </c>
      <c r="B8" s="12" t="s">
        <v>21</v>
      </c>
      <c r="C8" s="11" t="s">
        <v>54</v>
      </c>
      <c r="D8" s="11" t="s">
        <v>55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</row>
    <row r="9" spans="1:33" x14ac:dyDescent="0.3">
      <c r="A9" s="6" t="s">
        <v>22</v>
      </c>
      <c r="B9" s="12" t="s">
        <v>23</v>
      </c>
      <c r="C9" s="11" t="s">
        <v>54</v>
      </c>
      <c r="D9" s="11" t="s">
        <v>55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</row>
    <row r="10" spans="1:33" x14ac:dyDescent="0.3">
      <c r="A10" s="6" t="s">
        <v>24</v>
      </c>
      <c r="B10" s="12" t="s">
        <v>25</v>
      </c>
      <c r="C10" s="11" t="s">
        <v>54</v>
      </c>
      <c r="D10" s="11" t="s">
        <v>55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</row>
    <row r="11" spans="1:33" x14ac:dyDescent="0.3">
      <c r="A11" s="6" t="s">
        <v>26</v>
      </c>
      <c r="B11" s="12" t="s">
        <v>27</v>
      </c>
      <c r="C11" s="11" t="s">
        <v>54</v>
      </c>
      <c r="D11" s="11" t="s">
        <v>55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</row>
    <row r="12" spans="1:33" x14ac:dyDescent="0.3">
      <c r="A12" s="6" t="s">
        <v>28</v>
      </c>
      <c r="B12" s="12" t="s">
        <v>29</v>
      </c>
      <c r="C12" s="11" t="s">
        <v>54</v>
      </c>
      <c r="D12" s="11" t="s">
        <v>55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</row>
    <row r="13" spans="1:33" x14ac:dyDescent="0.3">
      <c r="A13" s="6" t="s">
        <v>30</v>
      </c>
      <c r="B13" s="12" t="s">
        <v>31</v>
      </c>
      <c r="C13" s="11" t="s">
        <v>54</v>
      </c>
      <c r="D13" s="11" t="s">
        <v>55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</row>
    <row r="14" spans="1:33" x14ac:dyDescent="0.3">
      <c r="A14" s="6" t="s">
        <v>32</v>
      </c>
      <c r="B14" s="12" t="s">
        <v>33</v>
      </c>
      <c r="C14" s="11" t="s">
        <v>54</v>
      </c>
      <c r="D14" s="11" t="s">
        <v>55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</row>
    <row r="15" spans="1:33" x14ac:dyDescent="0.3">
      <c r="A15" s="6" t="s">
        <v>34</v>
      </c>
      <c r="B15" s="12" t="s">
        <v>35</v>
      </c>
      <c r="C15" s="11" t="s">
        <v>54</v>
      </c>
      <c r="D15" s="11" t="s">
        <v>55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</row>
    <row r="16" spans="1:33" x14ac:dyDescent="0.3">
      <c r="A16" s="6" t="s">
        <v>36</v>
      </c>
      <c r="B16" s="12" t="s">
        <v>37</v>
      </c>
      <c r="C16" s="11" t="s">
        <v>54</v>
      </c>
      <c r="D16" s="11" t="s">
        <v>55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</row>
    <row r="17" spans="1:33" x14ac:dyDescent="0.3">
      <c r="A17" s="6" t="s">
        <v>38</v>
      </c>
      <c r="B17" s="12" t="s">
        <v>39</v>
      </c>
      <c r="C17" s="11" t="s">
        <v>54</v>
      </c>
      <c r="D17" s="11" t="s">
        <v>55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</row>
    <row r="18" spans="1:33" x14ac:dyDescent="0.3">
      <c r="A18" s="6" t="s">
        <v>40</v>
      </c>
      <c r="B18" s="12" t="s">
        <v>41</v>
      </c>
      <c r="C18" s="11" t="s">
        <v>54</v>
      </c>
      <c r="D18" s="11" t="s">
        <v>55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</row>
    <row r="19" spans="1:33" x14ac:dyDescent="0.3">
      <c r="A19" s="6" t="s">
        <v>42</v>
      </c>
      <c r="B19" s="12" t="s">
        <v>43</v>
      </c>
      <c r="C19" s="11" t="s">
        <v>54</v>
      </c>
      <c r="D19" s="11" t="s">
        <v>55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</row>
    <row r="20" spans="1:33" x14ac:dyDescent="0.3">
      <c r="A20" s="6" t="s">
        <v>44</v>
      </c>
      <c r="B20" s="12" t="s">
        <v>45</v>
      </c>
      <c r="C20" s="11" t="s">
        <v>54</v>
      </c>
      <c r="D20" s="11" t="s">
        <v>55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</row>
    <row r="21" spans="1:33" x14ac:dyDescent="0.3">
      <c r="A21" s="6" t="s">
        <v>46</v>
      </c>
      <c r="B21" s="12" t="s">
        <v>47</v>
      </c>
      <c r="C21" s="11" t="s">
        <v>54</v>
      </c>
      <c r="D21" s="11" t="s">
        <v>55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</row>
    <row r="22" spans="1:33" x14ac:dyDescent="0.3">
      <c r="A22" s="6" t="s">
        <v>48</v>
      </c>
      <c r="B22" s="12" t="s">
        <v>49</v>
      </c>
      <c r="C22" s="11" t="s">
        <v>54</v>
      </c>
      <c r="D22" s="11" t="s">
        <v>55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</row>
    <row r="23" spans="1:33" x14ac:dyDescent="0.3">
      <c r="A23" s="6" t="s">
        <v>50</v>
      </c>
      <c r="B23" s="12" t="s">
        <v>51</v>
      </c>
      <c r="C23" s="11" t="s">
        <v>54</v>
      </c>
      <c r="D23" s="11" t="s">
        <v>55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</row>
  </sheetData>
  <mergeCells count="4">
    <mergeCell ref="A3:A4"/>
    <mergeCell ref="B3:B4"/>
    <mergeCell ref="I1:K1"/>
    <mergeCell ref="M1:O1"/>
  </mergeCells>
  <conditionalFormatting sqref="C4">
    <cfRule type="expression" dxfId="3" priority="3">
      <formula>C$4="Sat"</formula>
    </cfRule>
  </conditionalFormatting>
  <conditionalFormatting sqref="C4:AG23">
    <cfRule type="expression" dxfId="2" priority="2">
      <formula>C$4="Sat"</formula>
    </cfRule>
    <cfRule type="expression" dxfId="1" priority="1">
      <formula>C$4="Sun"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E31243-DF72-4B87-AB1A-665AB70FC24A}">
          <x14:formula1>
            <xm:f>Other!$A$1:$A$12</xm:f>
          </x14:formula1>
          <xm:sqref>B1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Other</vt:lpstr>
      <vt:lpstr>Attendance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2026-05-09T14:56:15Z</dcterms:created>
  <dcterms:modified xsi:type="dcterms:W3CDTF">2026-05-09T17:11:54Z</dcterms:modified>
</cp:coreProperties>
</file>