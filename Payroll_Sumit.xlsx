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F0634E01-7673-4DE7-A530-22FF35FEA64B}" xr6:coauthVersionLast="41" xr6:coauthVersionMax="41" xr10:uidLastSave="{00000000-0000-0000-0000-000000000000}"/>
  <bookViews>
    <workbookView xWindow="-108" yWindow="-108" windowWidth="23256" windowHeight="12456" activeTab="3" xr2:uid="{00000000-000D-0000-FFFF-FFFF00000000}"/>
  </bookViews>
  <sheets>
    <sheet name="Other" sheetId="3" r:id="rId1"/>
    <sheet name="Attendance" sheetId="1" r:id="rId2"/>
    <sheet name="Overtime" sheetId="4" r:id="rId3"/>
    <sheet name="Payroll" sheetId="2" r:id="rId4"/>
  </sheets>
  <definedNames>
    <definedName name="Holiday">Other!$C$2:$C$18</definedName>
    <definedName name="Month">Other!$A$2:$A$13</definedName>
    <definedName name="Year">Other!$B$2:$B$13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6" i="2" l="1"/>
  <c r="AA26" i="2"/>
  <c r="X26" i="2"/>
  <c r="W26" i="2"/>
  <c r="V26" i="2"/>
  <c r="T26" i="2"/>
  <c r="S26" i="2"/>
  <c r="R26" i="2"/>
  <c r="AB25" i="2"/>
  <c r="AA25" i="2"/>
  <c r="X25" i="2"/>
  <c r="W25" i="2"/>
  <c r="V25" i="2"/>
  <c r="T25" i="2"/>
  <c r="S25" i="2"/>
  <c r="R25" i="2"/>
  <c r="AB24" i="2"/>
  <c r="AA24" i="2"/>
  <c r="X24" i="2"/>
  <c r="W24" i="2"/>
  <c r="V24" i="2"/>
  <c r="T24" i="2"/>
  <c r="S24" i="2"/>
  <c r="R24" i="2"/>
  <c r="AB23" i="2"/>
  <c r="AA23" i="2"/>
  <c r="X23" i="2"/>
  <c r="W23" i="2"/>
  <c r="V23" i="2"/>
  <c r="T23" i="2"/>
  <c r="S23" i="2"/>
  <c r="R23" i="2"/>
  <c r="AB22" i="2"/>
  <c r="AA22" i="2"/>
  <c r="X22" i="2"/>
  <c r="W22" i="2"/>
  <c r="V22" i="2"/>
  <c r="T22" i="2"/>
  <c r="S22" i="2"/>
  <c r="R22" i="2"/>
  <c r="AB21" i="2"/>
  <c r="AA21" i="2"/>
  <c r="X21" i="2"/>
  <c r="W21" i="2"/>
  <c r="V21" i="2"/>
  <c r="T21" i="2"/>
  <c r="S21" i="2"/>
  <c r="R21" i="2"/>
  <c r="AB20" i="2"/>
  <c r="AA20" i="2"/>
  <c r="X20" i="2"/>
  <c r="W20" i="2"/>
  <c r="V20" i="2"/>
  <c r="T20" i="2"/>
  <c r="S20" i="2"/>
  <c r="R20" i="2"/>
  <c r="AB19" i="2"/>
  <c r="AA19" i="2"/>
  <c r="X19" i="2"/>
  <c r="W19" i="2"/>
  <c r="V19" i="2"/>
  <c r="T19" i="2"/>
  <c r="S19" i="2"/>
  <c r="R19" i="2"/>
  <c r="AB18" i="2"/>
  <c r="AA18" i="2"/>
  <c r="X18" i="2"/>
  <c r="W18" i="2"/>
  <c r="V18" i="2"/>
  <c r="T18" i="2"/>
  <c r="S18" i="2"/>
  <c r="R18" i="2"/>
  <c r="AB17" i="2"/>
  <c r="AA17" i="2"/>
  <c r="X17" i="2"/>
  <c r="W17" i="2"/>
  <c r="V17" i="2"/>
  <c r="T17" i="2"/>
  <c r="S17" i="2"/>
  <c r="R17" i="2"/>
  <c r="AB16" i="2"/>
  <c r="AA16" i="2"/>
  <c r="X16" i="2"/>
  <c r="W16" i="2"/>
  <c r="V16" i="2"/>
  <c r="T16" i="2"/>
  <c r="S16" i="2"/>
  <c r="R16" i="2"/>
  <c r="AB15" i="2"/>
  <c r="AA15" i="2"/>
  <c r="X15" i="2"/>
  <c r="W15" i="2"/>
  <c r="V15" i="2"/>
  <c r="T15" i="2"/>
  <c r="S15" i="2"/>
  <c r="R15" i="2"/>
  <c r="AB14" i="2"/>
  <c r="AA14" i="2"/>
  <c r="X14" i="2"/>
  <c r="W14" i="2"/>
  <c r="V14" i="2"/>
  <c r="T14" i="2"/>
  <c r="S14" i="2"/>
  <c r="R14" i="2"/>
  <c r="AB13" i="2"/>
  <c r="AA13" i="2"/>
  <c r="X13" i="2"/>
  <c r="W13" i="2"/>
  <c r="V13" i="2"/>
  <c r="T13" i="2"/>
  <c r="S13" i="2"/>
  <c r="R13" i="2"/>
  <c r="AB12" i="2"/>
  <c r="AA12" i="2"/>
  <c r="X12" i="2"/>
  <c r="W12" i="2"/>
  <c r="V12" i="2"/>
  <c r="T12" i="2"/>
  <c r="S12" i="2"/>
  <c r="R12" i="2"/>
  <c r="AB11" i="2"/>
  <c r="AA11" i="2"/>
  <c r="X11" i="2"/>
  <c r="W11" i="2"/>
  <c r="V11" i="2"/>
  <c r="T11" i="2"/>
  <c r="S11" i="2"/>
  <c r="R11" i="2"/>
  <c r="AB10" i="2"/>
  <c r="AA10" i="2"/>
  <c r="X10" i="2"/>
  <c r="W10" i="2"/>
  <c r="V10" i="2"/>
  <c r="T10" i="2"/>
  <c r="S10" i="2"/>
  <c r="R10" i="2"/>
  <c r="AB9" i="2"/>
  <c r="AA9" i="2"/>
  <c r="X9" i="2"/>
  <c r="W9" i="2"/>
  <c r="V9" i="2"/>
  <c r="T9" i="2"/>
  <c r="S9" i="2"/>
  <c r="R9" i="2"/>
  <c r="AB8" i="2"/>
  <c r="AA8" i="2"/>
  <c r="X8" i="2"/>
  <c r="W8" i="2"/>
  <c r="V8" i="2"/>
  <c r="T8" i="2"/>
  <c r="S8" i="2"/>
  <c r="R8" i="2"/>
  <c r="AB7" i="2"/>
  <c r="AA7" i="2"/>
  <c r="X7" i="2"/>
  <c r="W7" i="2"/>
  <c r="V7" i="2"/>
  <c r="T7" i="2"/>
  <c r="S7" i="2"/>
  <c r="R7" i="2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AS25" i="1"/>
  <c r="AR25" i="1"/>
  <c r="AQ25" i="1"/>
  <c r="AP25" i="1"/>
  <c r="AO25" i="1"/>
  <c r="AN25" i="1"/>
  <c r="AM25" i="1"/>
  <c r="AS24" i="1"/>
  <c r="AR24" i="1"/>
  <c r="AQ24" i="1"/>
  <c r="AP24" i="1"/>
  <c r="AO24" i="1"/>
  <c r="AN24" i="1"/>
  <c r="AM24" i="1"/>
  <c r="AS23" i="1"/>
  <c r="AR23" i="1"/>
  <c r="AQ23" i="1"/>
  <c r="AP23" i="1"/>
  <c r="AO23" i="1"/>
  <c r="AN23" i="1"/>
  <c r="AM23" i="1"/>
  <c r="AS22" i="1"/>
  <c r="AR22" i="1"/>
  <c r="AQ22" i="1"/>
  <c r="AP22" i="1"/>
  <c r="AO22" i="1"/>
  <c r="AN22" i="1"/>
  <c r="AM22" i="1"/>
  <c r="AS21" i="1"/>
  <c r="AR21" i="1"/>
  <c r="AQ21" i="1"/>
  <c r="AP21" i="1"/>
  <c r="AO21" i="1"/>
  <c r="AN21" i="1"/>
  <c r="AM21" i="1"/>
  <c r="AS20" i="1"/>
  <c r="AR20" i="1"/>
  <c r="AQ20" i="1"/>
  <c r="AP20" i="1"/>
  <c r="AO20" i="1"/>
  <c r="AN20" i="1"/>
  <c r="AM20" i="1"/>
  <c r="AS19" i="1"/>
  <c r="AR19" i="1"/>
  <c r="AQ19" i="1"/>
  <c r="AP19" i="1"/>
  <c r="AO19" i="1"/>
  <c r="AN19" i="1"/>
  <c r="AM19" i="1"/>
  <c r="AS18" i="1"/>
  <c r="AR18" i="1"/>
  <c r="AQ18" i="1"/>
  <c r="AP18" i="1"/>
  <c r="AO18" i="1"/>
  <c r="AN18" i="1"/>
  <c r="AM18" i="1"/>
  <c r="AS17" i="1"/>
  <c r="AR17" i="1"/>
  <c r="AQ17" i="1"/>
  <c r="AP17" i="1"/>
  <c r="AO17" i="1"/>
  <c r="AN17" i="1"/>
  <c r="AM17" i="1"/>
  <c r="AS16" i="1"/>
  <c r="AR16" i="1"/>
  <c r="AQ16" i="1"/>
  <c r="AP16" i="1"/>
  <c r="AO16" i="1"/>
  <c r="AN16" i="1"/>
  <c r="AM16" i="1"/>
  <c r="AS15" i="1"/>
  <c r="AR15" i="1"/>
  <c r="AQ15" i="1"/>
  <c r="AP15" i="1"/>
  <c r="AO15" i="1"/>
  <c r="AN15" i="1"/>
  <c r="AM15" i="1"/>
  <c r="AS14" i="1"/>
  <c r="AR14" i="1"/>
  <c r="AQ14" i="1"/>
  <c r="AP14" i="1"/>
  <c r="AO14" i="1"/>
  <c r="AN14" i="1"/>
  <c r="AM14" i="1"/>
  <c r="AS13" i="1"/>
  <c r="AR13" i="1"/>
  <c r="AQ13" i="1"/>
  <c r="AP13" i="1"/>
  <c r="AO13" i="1"/>
  <c r="AN13" i="1"/>
  <c r="AM13" i="1"/>
  <c r="AS12" i="1"/>
  <c r="AR12" i="1"/>
  <c r="AQ12" i="1"/>
  <c r="AP12" i="1"/>
  <c r="AO12" i="1"/>
  <c r="AN12" i="1"/>
  <c r="AM12" i="1"/>
  <c r="AS11" i="1"/>
  <c r="AR11" i="1"/>
  <c r="AQ11" i="1"/>
  <c r="AP11" i="1"/>
  <c r="AO11" i="1"/>
  <c r="AN11" i="1"/>
  <c r="AM11" i="1"/>
  <c r="AS10" i="1"/>
  <c r="AR10" i="1"/>
  <c r="AQ10" i="1"/>
  <c r="AP10" i="1"/>
  <c r="AO10" i="1"/>
  <c r="AN10" i="1"/>
  <c r="AM10" i="1"/>
  <c r="AS9" i="1"/>
  <c r="AR9" i="1"/>
  <c r="AQ9" i="1"/>
  <c r="AP9" i="1"/>
  <c r="AO9" i="1"/>
  <c r="AN9" i="1"/>
  <c r="AM9" i="1"/>
  <c r="AS8" i="1"/>
  <c r="AR8" i="1"/>
  <c r="AQ8" i="1"/>
  <c r="AP8" i="1"/>
  <c r="AO8" i="1"/>
  <c r="AN8" i="1"/>
  <c r="AM8" i="1"/>
  <c r="AS7" i="1"/>
  <c r="AR7" i="1"/>
  <c r="AQ7" i="1"/>
  <c r="AP7" i="1"/>
  <c r="AO7" i="1"/>
  <c r="AN7" i="1"/>
  <c r="AM7" i="1"/>
  <c r="AS6" i="1"/>
  <c r="AR6" i="1"/>
  <c r="AQ6" i="1"/>
  <c r="AP6" i="1"/>
  <c r="AO6" i="1"/>
  <c r="AN6" i="1"/>
  <c r="AM6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D2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AS1" authorId="0" shapeId="0" xr:uid="{00000000-0006-0000-0100-000001000000}">
      <text>
        <r>
          <rPr>
            <b/>
            <sz val="9"/>
            <rFont val="Tahoma"/>
            <charset val="134"/>
          </rPr>
          <t>To Payable Days = Total Present+Total Weekoff+Total Holidays+Paid Leaves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R5" authorId="0" shapeId="0" xr:uid="{00000000-0006-0000-0300-000001000000}">
      <text>
        <r>
          <rPr>
            <b/>
            <sz val="9"/>
            <rFont val="Tahoma"/>
            <charset val="134"/>
          </rPr>
          <t>Basic Salary/Days in a month*Present days(Days Payable)</t>
        </r>
        <r>
          <rPr>
            <sz val="9"/>
            <rFont val="Tahoma"/>
            <charset val="134"/>
          </rPr>
          <t xml:space="preserve">
</t>
        </r>
      </text>
    </comment>
    <comment ref="S5" authorId="0" shapeId="0" xr:uid="{00000000-0006-0000-0300-000002000000}">
      <text>
        <r>
          <rPr>
            <b/>
            <sz val="9"/>
            <rFont val="Tahoma"/>
            <charset val="134"/>
          </rPr>
          <t>DA=(Basic)*12%</t>
        </r>
        <r>
          <rPr>
            <sz val="9"/>
            <rFont val="Tahoma"/>
            <charset val="134"/>
          </rPr>
          <t xml:space="preserve">
</t>
        </r>
      </text>
    </comment>
    <comment ref="T5" authorId="0" shapeId="0" xr:uid="{00000000-0006-0000-0300-000003000000}">
      <text>
        <r>
          <rPr>
            <b/>
            <sz val="9"/>
            <rFont val="Tahoma"/>
            <charset val="134"/>
          </rPr>
          <t>HRA=(Basic+DA)*35%</t>
        </r>
        <r>
          <rPr>
            <sz val="9"/>
            <rFont val="Tahoma"/>
            <charset val="134"/>
          </rPr>
          <t xml:space="preserve">
</t>
        </r>
      </text>
    </comment>
    <comment ref="V5" authorId="0" shapeId="0" xr:uid="{00000000-0006-0000-0300-000004000000}">
      <text>
        <r>
          <rPr>
            <b/>
            <sz val="9"/>
            <rFont val="Tahoma"/>
            <charset val="134"/>
          </rPr>
          <t xml:space="preserve">Gross salary = Basic + DA + HRA + Any allowance
</t>
        </r>
      </text>
    </comment>
    <comment ref="W5" authorId="0" shapeId="0" xr:uid="{00000000-0006-0000-0300-000005000000}">
      <text>
        <r>
          <rPr>
            <b/>
            <sz val="9"/>
            <rFont val="Tahoma"/>
            <charset val="134"/>
          </rPr>
          <t xml:space="preserve">EPF = (Basic + DA) * 12% 
(if salary is 15k ⬇️) 
EPF = 1800 
(If salary is more than 15k ⬆️)
</t>
        </r>
        <r>
          <rPr>
            <sz val="9"/>
            <rFont val="Tahoma"/>
            <charset val="134"/>
          </rPr>
          <t xml:space="preserve">
</t>
        </r>
      </text>
    </comment>
    <comment ref="X5" authorId="0" shapeId="0" xr:uid="{00000000-0006-0000-0300-000006000000}">
      <text>
        <r>
          <rPr>
            <b/>
            <sz val="9"/>
            <rFont val="Tahoma"/>
            <charset val="134"/>
          </rPr>
          <t xml:space="preserve">ESI = (Gross salary) * 0.75% 
(If salary is 21k ⬇️) 
ESI = 0 
(If salary is more than 21k ⬆️)
</t>
        </r>
        <r>
          <rPr>
            <sz val="9"/>
            <rFont val="Tahoma"/>
            <charset val="134"/>
          </rPr>
          <t xml:space="preserve">
</t>
        </r>
      </text>
    </comment>
    <comment ref="AA5" authorId="0" shapeId="0" xr:uid="{00000000-0006-0000-0300-000007000000}">
      <text>
        <r>
          <rPr>
            <b/>
            <sz val="9"/>
            <rFont val="Tahoma"/>
            <charset val="134"/>
          </rPr>
          <t xml:space="preserve">Total deduction = (EPF + ESI + TDS + P-Tax)
</t>
        </r>
        <r>
          <rPr>
            <sz val="9"/>
            <rFont val="Tahoma"/>
            <charset val="134"/>
          </rPr>
          <t xml:space="preserve">
</t>
        </r>
      </text>
    </comment>
    <comment ref="AB5" authorId="0" shapeId="0" xr:uid="{00000000-0006-0000-0300-000008000000}">
      <text>
        <r>
          <rPr>
            <b/>
            <sz val="9"/>
            <rFont val="Tahoma"/>
            <charset val="134"/>
          </rPr>
          <t xml:space="preserve">Net salary (in Hand) =  ( Gross salary - total deduction)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<sst xmlns="http://schemas.openxmlformats.org/spreadsheetml/2006/main" count="1037" uniqueCount="167">
  <si>
    <t>Month</t>
  </si>
  <si>
    <t>Year</t>
  </si>
  <si>
    <t>Date</t>
  </si>
  <si>
    <t>Holiday</t>
  </si>
  <si>
    <t>January</t>
  </si>
  <si>
    <t>Republic Day</t>
  </si>
  <si>
    <t>February</t>
  </si>
  <si>
    <t>Holi</t>
  </si>
  <si>
    <t>March</t>
  </si>
  <si>
    <t>Id-ul-Fitr</t>
  </si>
  <si>
    <t>April</t>
  </si>
  <si>
    <t>Ram Navami</t>
  </si>
  <si>
    <t>May</t>
  </si>
  <si>
    <t>Mahavir Jayanti</t>
  </si>
  <si>
    <t>June</t>
  </si>
  <si>
    <t>Good Friday</t>
  </si>
  <si>
    <t>July</t>
  </si>
  <si>
    <t>Buddha Purnima</t>
  </si>
  <si>
    <t>August</t>
  </si>
  <si>
    <t>Id-ul-Zuha (Bakrid)</t>
  </si>
  <si>
    <t>September</t>
  </si>
  <si>
    <t>Muharram</t>
  </si>
  <si>
    <t>October</t>
  </si>
  <si>
    <t>Independence Day</t>
  </si>
  <si>
    <t>November</t>
  </si>
  <si>
    <t>Milad-un-Nabi</t>
  </si>
  <si>
    <t>December</t>
  </si>
  <si>
    <t>Janmashtami</t>
  </si>
  <si>
    <t>Gandhi Jayanti</t>
  </si>
  <si>
    <t>Dussehra</t>
  </si>
  <si>
    <t>Diwali</t>
  </si>
  <si>
    <t>Guru Nanak Jayanti</t>
  </si>
  <si>
    <t>Christmas Day</t>
  </si>
  <si>
    <t>Month &amp; Year</t>
  </si>
  <si>
    <t>Total Present (P)</t>
  </si>
  <si>
    <t>Total Absent(A)</t>
  </si>
  <si>
    <t>Total Weekoff(W)</t>
  </si>
  <si>
    <t>Total Holidays(H)</t>
  </si>
  <si>
    <t>Paid Leaves(PL)</t>
  </si>
  <si>
    <t>Unpaid Leaves(UN)</t>
  </si>
  <si>
    <t>Total Payable Days</t>
  </si>
  <si>
    <t>Start &amp; End Date</t>
  </si>
  <si>
    <t>attendance Sheet For The Month Of Jan 2026</t>
  </si>
  <si>
    <t>Sr.No</t>
  </si>
  <si>
    <t>Employee UID</t>
  </si>
  <si>
    <t>Employee Name</t>
  </si>
  <si>
    <t>Designation</t>
  </si>
  <si>
    <t>Department</t>
  </si>
  <si>
    <t>Location</t>
  </si>
  <si>
    <t>Gender</t>
  </si>
  <si>
    <t>AS2101</t>
  </si>
  <si>
    <t>Astha Puri</t>
  </si>
  <si>
    <t>Developer</t>
  </si>
  <si>
    <t>N/A</t>
  </si>
  <si>
    <t>Metro</t>
  </si>
  <si>
    <t>Female</t>
  </si>
  <si>
    <t>p</t>
  </si>
  <si>
    <t>w</t>
  </si>
  <si>
    <t>W</t>
  </si>
  <si>
    <t>P</t>
  </si>
  <si>
    <t>PL</t>
  </si>
  <si>
    <t>H</t>
  </si>
  <si>
    <t>AS2102</t>
  </si>
  <si>
    <t>Bijal Pande</t>
  </si>
  <si>
    <t>Graphic Designer</t>
  </si>
  <si>
    <t>A</t>
  </si>
  <si>
    <t>AS2103</t>
  </si>
  <si>
    <t>Chirag Sharma</t>
  </si>
  <si>
    <t>Sr. Developer</t>
  </si>
  <si>
    <t>Male</t>
  </si>
  <si>
    <t>AS2104</t>
  </si>
  <si>
    <t>Divya Soni</t>
  </si>
  <si>
    <t>AS2105</t>
  </si>
  <si>
    <t>Erum Rastogi</t>
  </si>
  <si>
    <t>Office Admin</t>
  </si>
  <si>
    <t>UL</t>
  </si>
  <si>
    <t>AS2106</t>
  </si>
  <si>
    <t>Farhan Patel</t>
  </si>
  <si>
    <t>Non-Metro</t>
  </si>
  <si>
    <t>AS2107</t>
  </si>
  <si>
    <t>Geet Sahu</t>
  </si>
  <si>
    <t>Sr. Accountant</t>
  </si>
  <si>
    <t>AS2108</t>
  </si>
  <si>
    <t>Himesh Surya</t>
  </si>
  <si>
    <t>Jr. Accountant</t>
  </si>
  <si>
    <t>AS2109</t>
  </si>
  <si>
    <t>Imran Abha</t>
  </si>
  <si>
    <t>AS2110</t>
  </si>
  <si>
    <t>Jitendra Pande</t>
  </si>
  <si>
    <t>HR Head</t>
  </si>
  <si>
    <t>AS2111</t>
  </si>
  <si>
    <t>Kailash Rane</t>
  </si>
  <si>
    <t>Manager</t>
  </si>
  <si>
    <t>AS2112</t>
  </si>
  <si>
    <t>Luv Patel</t>
  </si>
  <si>
    <t>Delivery Boy</t>
  </si>
  <si>
    <t>AS2113</t>
  </si>
  <si>
    <t>Manoj Bhide</t>
  </si>
  <si>
    <t>Peon</t>
  </si>
  <si>
    <t>AS2114</t>
  </si>
  <si>
    <t>Nancy Pastor</t>
  </si>
  <si>
    <t>AS2115</t>
  </si>
  <si>
    <t>Omar Shaikh</t>
  </si>
  <si>
    <t>AS2116</t>
  </si>
  <si>
    <t>Preetam Chavla</t>
  </si>
  <si>
    <t>AS2117</t>
  </si>
  <si>
    <t>Ram Vihaan</t>
  </si>
  <si>
    <t>AS2118</t>
  </si>
  <si>
    <t>Sunil Upadhay</t>
  </si>
  <si>
    <t>AS2119</t>
  </si>
  <si>
    <t>Tirth Chobe</t>
  </si>
  <si>
    <t>AS2120</t>
  </si>
  <si>
    <t>Umesh Bajrang</t>
  </si>
  <si>
    <t>1-jan-20206</t>
  </si>
  <si>
    <t>In Time</t>
  </si>
  <si>
    <t>Out Time</t>
  </si>
  <si>
    <t>Total Hours</t>
  </si>
  <si>
    <t>Over Time</t>
  </si>
  <si>
    <t>Company Name:</t>
  </si>
  <si>
    <t>xyz private limited</t>
  </si>
  <si>
    <t>Address:</t>
  </si>
  <si>
    <t>Company Address</t>
  </si>
  <si>
    <t>Salary Sheet For The Month Of Jan 2026</t>
  </si>
  <si>
    <t>Employee details</t>
  </si>
  <si>
    <t>Document</t>
  </si>
  <si>
    <t>Bank Details</t>
  </si>
  <si>
    <t>Salary Sheet</t>
  </si>
  <si>
    <t>Joining Date</t>
  </si>
  <si>
    <t>Last Working Day</t>
  </si>
  <si>
    <t>Adhard N0.</t>
  </si>
  <si>
    <t>PAN Number</t>
  </si>
  <si>
    <t>UAN / PF No.</t>
  </si>
  <si>
    <t>Bank Account No.</t>
  </si>
  <si>
    <t>IFSC Code</t>
  </si>
  <si>
    <t>Bank Name</t>
  </si>
  <si>
    <t>Days in A Month</t>
  </si>
  <si>
    <t>Leave Taken</t>
  </si>
  <si>
    <t xml:space="preserve">Days Payable </t>
  </si>
  <si>
    <t>Basic Pay</t>
  </si>
  <si>
    <r>
      <rPr>
        <b/>
        <sz val="11"/>
        <color rgb="FF000000"/>
        <rFont val="Calibri"/>
        <charset val="134"/>
        <scheme val="minor"/>
      </rPr>
      <t xml:space="preserve">Salary </t>
    </r>
    <r>
      <rPr>
        <sz val="11"/>
        <color rgb="FF000000"/>
        <rFont val="Calibri"/>
        <charset val="134"/>
        <scheme val="minor"/>
      </rPr>
      <t>(as per Payable Days)</t>
    </r>
  </si>
  <si>
    <t>DA</t>
  </si>
  <si>
    <t>HRA</t>
  </si>
  <si>
    <t>Allowances (Any)</t>
  </si>
  <si>
    <t>Gross Salary</t>
  </si>
  <si>
    <t>EPF</t>
  </si>
  <si>
    <t>ESIC</t>
  </si>
  <si>
    <t>TDS</t>
  </si>
  <si>
    <t>P.Tex</t>
  </si>
  <si>
    <t>Total Deduction</t>
  </si>
  <si>
    <t>Net Salary</t>
  </si>
  <si>
    <t>Remarks</t>
  </si>
  <si>
    <t>IKCS54E</t>
  </si>
  <si>
    <t>SBIN000123</t>
  </si>
  <si>
    <t>State Bank of India</t>
  </si>
  <si>
    <t>SBIN000124</t>
  </si>
  <si>
    <t>SBIN000125</t>
  </si>
  <si>
    <t>HDFC000456</t>
  </si>
  <si>
    <t xml:space="preserve">HDFC </t>
  </si>
  <si>
    <t>SBIN000127</t>
  </si>
  <si>
    <t>SBIN000128</t>
  </si>
  <si>
    <t>SBIN000129</t>
  </si>
  <si>
    <t>SBIN000130</t>
  </si>
  <si>
    <t>SBIN000131</t>
  </si>
  <si>
    <t>HDFC000457</t>
  </si>
  <si>
    <t>HDFC000458</t>
  </si>
  <si>
    <t>SBIN000132</t>
  </si>
  <si>
    <t>SBIN000133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</si>
</sst>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₹&quot;\ #,##0;&quot;₹&quot;\ \-#,##0"/>
    <numFmt numFmtId="166" formatCode="dd/mmm/yyyy"/>
    <numFmt numFmtId="167" formatCode="d\ mmmm"/>
    <numFmt numFmtId="168" formatCode="d\ mmm"/>
  </numFmts>
  <fonts count="22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24"/>
      <name val="Algerian"/>
      <charset val="134"/>
    </font>
    <font>
      <b/>
      <sz val="12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20"/>
      <color theme="1"/>
      <name val="Arial Rounded MT Bold"/>
      <charset val="134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8"/>
      <color theme="1"/>
      <name val="Algerian"/>
      <charset val="134"/>
    </font>
    <font>
      <b/>
      <sz val="28"/>
      <color theme="1"/>
      <name val="Algerian"/>
      <charset val="134"/>
    </font>
    <font>
      <b/>
      <sz val="11"/>
      <color rgb="FF0000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17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20651875362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166" fontId="7" fillId="0" borderId="5" xfId="0" applyNumberFormat="1" applyFont="1" applyFill="1" applyBorder="1" applyAlignment="1">
      <alignment horizontal="center" vertical="center"/>
    </xf>
    <xf numFmtId="14" fontId="8" fillId="0" borderId="5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5" fontId="7" fillId="11" borderId="5" xfId="0" applyNumberFormat="1" applyFont="1" applyFill="1" applyBorder="1" applyAlignment="1">
      <alignment horizontal="center" vertical="center"/>
    </xf>
    <xf numFmtId="5" fontId="7" fillId="11" borderId="2" xfId="0" applyNumberFormat="1" applyFont="1" applyFill="1" applyBorder="1" applyAlignment="1">
      <alignment horizontal="center" vertical="center"/>
    </xf>
    <xf numFmtId="5" fontId="0" fillId="0" borderId="2" xfId="0" applyNumberFormat="1" applyBorder="1" applyAlignment="1">
      <alignment vertical="center"/>
    </xf>
    <xf numFmtId="1" fontId="0" fillId="0" borderId="5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5" fontId="0" fillId="8" borderId="5" xfId="0" applyNumberForma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/>
    <xf numFmtId="0" fontId="7" fillId="0" borderId="6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5" fontId="7" fillId="11" borderId="6" xfId="0" applyNumberFormat="1" applyFont="1" applyFill="1" applyBorder="1" applyAlignment="1">
      <alignment horizontal="center" vertical="center"/>
    </xf>
    <xf numFmtId="18" fontId="0" fillId="0" borderId="5" xfId="0" applyNumberFormat="1" applyBorder="1"/>
    <xf numFmtId="20" fontId="0" fillId="0" borderId="5" xfId="0" applyNumberFormat="1" applyBorder="1" applyAlignment="1">
      <alignment horizontal="center"/>
    </xf>
    <xf numFmtId="20" fontId="0" fillId="0" borderId="5" xfId="0" applyNumberFormat="1" applyBorder="1"/>
    <xf numFmtId="0" fontId="0" fillId="0" borderId="0" xfId="0" applyBorder="1"/>
    <xf numFmtId="0" fontId="12" fillId="14" borderId="5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167" fontId="12" fillId="14" borderId="4" xfId="0" applyNumberFormat="1" applyFont="1" applyFill="1" applyBorder="1" applyAlignment="1">
      <alignment horizontal="center" vertical="center"/>
    </xf>
    <xf numFmtId="167" fontId="12" fillId="14" borderId="4" xfId="0" applyNumberFormat="1" applyFont="1" applyFill="1" applyBorder="1" applyAlignment="1">
      <alignment horizontal="center"/>
    </xf>
    <xf numFmtId="168" fontId="0" fillId="16" borderId="5" xfId="0" applyNumberFormat="1" applyFill="1" applyBorder="1" applyAlignment="1">
      <alignment horizontal="center" vertical="center"/>
    </xf>
    <xf numFmtId="168" fontId="0" fillId="16" borderId="1" xfId="0" applyNumberForma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center" vertical="center" textRotation="90"/>
    </xf>
    <xf numFmtId="0" fontId="15" fillId="16" borderId="1" xfId="0" applyFont="1" applyFill="1" applyBorder="1" applyAlignment="1">
      <alignment horizontal="center" vertical="center" textRotation="90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14" fillId="15" borderId="5" xfId="0" applyFont="1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textRotation="180"/>
    </xf>
    <xf numFmtId="0" fontId="15" fillId="4" borderId="7" xfId="0" applyFont="1" applyFill="1" applyBorder="1" applyAlignment="1">
      <alignment horizontal="center" textRotation="180"/>
    </xf>
    <xf numFmtId="0" fontId="15" fillId="4" borderId="6" xfId="0" applyFont="1" applyFill="1" applyBorder="1" applyAlignment="1">
      <alignment horizontal="center" textRotation="180"/>
    </xf>
    <xf numFmtId="0" fontId="6" fillId="4" borderId="4" xfId="0" applyFont="1" applyFill="1" applyBorder="1" applyAlignment="1">
      <alignment textRotation="180"/>
    </xf>
    <xf numFmtId="0" fontId="15" fillId="4" borderId="7" xfId="0" applyFont="1" applyFill="1" applyBorder="1" applyAlignment="1">
      <alignment textRotation="180"/>
    </xf>
    <xf numFmtId="0" fontId="15" fillId="4" borderId="6" xfId="0" applyFont="1" applyFill="1" applyBorder="1" applyAlignment="1">
      <alignment textRotation="180"/>
    </xf>
    <xf numFmtId="0" fontId="13" fillId="14" borderId="4" xfId="0" applyFont="1" applyFill="1" applyBorder="1" applyAlignment="1">
      <alignment horizontal="center" textRotation="180"/>
    </xf>
    <xf numFmtId="0" fontId="12" fillId="14" borderId="7" xfId="0" applyFont="1" applyFill="1" applyBorder="1" applyAlignment="1">
      <alignment horizontal="center" textRotation="180"/>
    </xf>
    <xf numFmtId="0" fontId="12" fillId="14" borderId="6" xfId="0" applyFont="1" applyFill="1" applyBorder="1" applyAlignment="1">
      <alignment horizontal="center" textRotation="180"/>
    </xf>
    <xf numFmtId="0" fontId="14" fillId="15" borderId="5" xfId="0" applyFont="1" applyFill="1" applyBorder="1" applyAlignment="1">
      <alignment horizontal="center" textRotation="180"/>
    </xf>
    <xf numFmtId="0" fontId="10" fillId="12" borderId="5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E10" sqref="E10"/>
    </sheetView>
  </sheetViews>
  <sheetFormatPr defaultColWidth="9" defaultRowHeight="14.4"/>
  <cols>
    <col min="1" max="1" width="9.77734375" customWidth="1"/>
    <col min="2" max="2" width="5" customWidth="1"/>
    <col min="3" max="3" width="10.33203125" customWidth="1"/>
    <col min="4" max="4" width="16.77734375" customWidth="1"/>
  </cols>
  <sheetData>
    <row r="1" spans="1:4">
      <c r="A1" s="39" t="s">
        <v>0</v>
      </c>
      <c r="B1" s="39" t="s">
        <v>1</v>
      </c>
      <c r="C1" s="39" t="s">
        <v>2</v>
      </c>
      <c r="D1" s="39" t="s">
        <v>3</v>
      </c>
    </row>
    <row r="2" spans="1:4">
      <c r="A2" s="15" t="s">
        <v>4</v>
      </c>
      <c r="B2" s="15">
        <v>2026</v>
      </c>
      <c r="C2" s="40">
        <v>46048</v>
      </c>
      <c r="D2" s="15" t="s">
        <v>5</v>
      </c>
    </row>
    <row r="3" spans="1:4">
      <c r="A3" s="15" t="s">
        <v>6</v>
      </c>
      <c r="B3" s="15">
        <v>2027</v>
      </c>
      <c r="C3" s="40">
        <v>46085</v>
      </c>
      <c r="D3" s="15" t="s">
        <v>7</v>
      </c>
    </row>
    <row r="4" spans="1:4">
      <c r="A4" s="15" t="s">
        <v>8</v>
      </c>
      <c r="B4" s="15">
        <v>2028</v>
      </c>
      <c r="C4" s="40">
        <v>46102</v>
      </c>
      <c r="D4" s="15" t="s">
        <v>9</v>
      </c>
    </row>
    <row r="5" spans="1:4">
      <c r="A5" s="15" t="s">
        <v>10</v>
      </c>
      <c r="B5" s="15">
        <v>2029</v>
      </c>
      <c r="C5" s="40">
        <v>46107</v>
      </c>
      <c r="D5" s="15" t="s">
        <v>11</v>
      </c>
    </row>
    <row r="6" spans="1:4">
      <c r="A6" s="15" t="s">
        <v>12</v>
      </c>
      <c r="B6" s="15">
        <v>2030</v>
      </c>
      <c r="C6" s="40">
        <v>46112</v>
      </c>
      <c r="D6" s="15" t="s">
        <v>13</v>
      </c>
    </row>
    <row r="7" spans="1:4">
      <c r="A7" s="15" t="s">
        <v>14</v>
      </c>
      <c r="B7" s="15">
        <v>2031</v>
      </c>
      <c r="C7" s="40">
        <v>46115</v>
      </c>
      <c r="D7" s="15" t="s">
        <v>15</v>
      </c>
    </row>
    <row r="8" spans="1:4">
      <c r="A8" s="15" t="s">
        <v>16</v>
      </c>
      <c r="B8" s="15">
        <v>2032</v>
      </c>
      <c r="C8" s="41">
        <v>46143</v>
      </c>
      <c r="D8" s="15" t="s">
        <v>17</v>
      </c>
    </row>
    <row r="9" spans="1:4">
      <c r="A9" s="15" t="s">
        <v>18</v>
      </c>
      <c r="B9" s="15">
        <v>2033</v>
      </c>
      <c r="C9" s="41">
        <v>46169</v>
      </c>
      <c r="D9" s="15" t="s">
        <v>19</v>
      </c>
    </row>
    <row r="10" spans="1:4">
      <c r="A10" s="15" t="s">
        <v>20</v>
      </c>
      <c r="B10" s="15">
        <v>2034</v>
      </c>
      <c r="C10" s="41">
        <v>46199</v>
      </c>
      <c r="D10" s="15" t="s">
        <v>21</v>
      </c>
    </row>
    <row r="11" spans="1:4">
      <c r="A11" s="15" t="s">
        <v>22</v>
      </c>
      <c r="B11" s="15">
        <v>2035</v>
      </c>
      <c r="C11" s="41">
        <v>46249</v>
      </c>
      <c r="D11" s="15" t="s">
        <v>23</v>
      </c>
    </row>
    <row r="12" spans="1:4">
      <c r="A12" s="15" t="s">
        <v>24</v>
      </c>
      <c r="B12" s="15">
        <v>2036</v>
      </c>
      <c r="C12" s="41">
        <v>46260</v>
      </c>
      <c r="D12" s="15" t="s">
        <v>25</v>
      </c>
    </row>
    <row r="13" spans="1:4">
      <c r="A13" s="15" t="s">
        <v>26</v>
      </c>
      <c r="B13" s="15">
        <v>2037</v>
      </c>
      <c r="C13" s="41">
        <v>46269</v>
      </c>
      <c r="D13" s="15" t="s">
        <v>27</v>
      </c>
    </row>
    <row r="14" spans="1:4">
      <c r="A14" s="15"/>
      <c r="B14" s="15"/>
      <c r="C14" s="41">
        <v>46297</v>
      </c>
      <c r="D14" s="15" t="s">
        <v>28</v>
      </c>
    </row>
    <row r="15" spans="1:4">
      <c r="A15" s="15"/>
      <c r="B15" s="15"/>
      <c r="C15" s="41">
        <v>46315</v>
      </c>
      <c r="D15" s="15" t="s">
        <v>29</v>
      </c>
    </row>
    <row r="16" spans="1:4">
      <c r="A16" s="15"/>
      <c r="B16" s="15"/>
      <c r="C16" s="41">
        <v>46334</v>
      </c>
      <c r="D16" s="15" t="s">
        <v>30</v>
      </c>
    </row>
    <row r="17" spans="1:4">
      <c r="A17" s="15"/>
      <c r="B17" s="15"/>
      <c r="C17" s="41">
        <v>46350</v>
      </c>
      <c r="D17" s="15" t="s">
        <v>31</v>
      </c>
    </row>
    <row r="18" spans="1:4">
      <c r="A18" s="15"/>
      <c r="B18" s="15"/>
      <c r="C18" s="41">
        <v>46381</v>
      </c>
      <c r="D18" s="1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5"/>
  <sheetViews>
    <sheetView zoomScale="87" zoomScaleNormal="87" workbookViewId="0">
      <selection activeCell="Q27" sqref="Q27"/>
    </sheetView>
  </sheetViews>
  <sheetFormatPr defaultColWidth="9" defaultRowHeight="14.4"/>
  <cols>
    <col min="1" max="1" width="5.6640625" customWidth="1"/>
    <col min="2" max="2" width="12.88671875" customWidth="1"/>
    <col min="3" max="3" width="14.88671875" customWidth="1"/>
    <col min="4" max="4" width="14.77734375" customWidth="1"/>
    <col min="5" max="5" width="11.109375" customWidth="1"/>
    <col min="6" max="6" width="11" style="1" customWidth="1"/>
    <col min="7" max="7" width="7.77734375" style="1" customWidth="1"/>
    <col min="8" max="8" width="5.77734375" customWidth="1"/>
    <col min="9" max="9" width="8.5546875" customWidth="1"/>
    <col min="10" max="16" width="5.77734375" customWidth="1"/>
    <col min="17" max="37" width="6.77734375" customWidth="1"/>
    <col min="38" max="38" width="6.5546875" customWidth="1"/>
    <col min="39" max="45" width="3.5546875" customWidth="1"/>
  </cols>
  <sheetData>
    <row r="1" spans="1:45" ht="14.4" customHeight="1">
      <c r="A1" s="42" t="s">
        <v>33</v>
      </c>
      <c r="B1" s="42"/>
      <c r="C1" s="26" t="s">
        <v>4</v>
      </c>
      <c r="D1" s="27">
        <v>2026</v>
      </c>
      <c r="F1" s="28"/>
      <c r="G1" s="28"/>
      <c r="I1" s="29"/>
      <c r="J1" s="29"/>
      <c r="AM1" s="50" t="s">
        <v>34</v>
      </c>
      <c r="AN1" s="50" t="s">
        <v>35</v>
      </c>
      <c r="AO1" s="53" t="s">
        <v>36</v>
      </c>
      <c r="AP1" s="56" t="s">
        <v>37</v>
      </c>
      <c r="AQ1" s="50" t="s">
        <v>38</v>
      </c>
      <c r="AR1" s="50" t="s">
        <v>39</v>
      </c>
      <c r="AS1" s="59" t="s">
        <v>40</v>
      </c>
    </row>
    <row r="2" spans="1:45">
      <c r="A2" s="42" t="s">
        <v>41</v>
      </c>
      <c r="B2" s="42"/>
      <c r="C2" s="30">
        <f>DATEVALUE("1"&amp;C$1&amp;$D$1)</f>
        <v>46023</v>
      </c>
      <c r="D2" s="31">
        <f>EOMONTH(C2,0)</f>
        <v>46053</v>
      </c>
      <c r="F2" s="28"/>
      <c r="G2" s="28"/>
      <c r="AM2" s="51"/>
      <c r="AN2" s="51"/>
      <c r="AO2" s="54"/>
      <c r="AP2" s="57"/>
      <c r="AQ2" s="51"/>
      <c r="AR2" s="51"/>
      <c r="AS2" s="59"/>
    </row>
    <row r="3" spans="1:45" ht="40.200000000000003">
      <c r="A3" s="43" t="s">
        <v>42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5"/>
      <c r="AM3" s="51"/>
      <c r="AN3" s="51"/>
      <c r="AO3" s="54"/>
      <c r="AP3" s="57"/>
      <c r="AQ3" s="51"/>
      <c r="AR3" s="51"/>
      <c r="AS3" s="59"/>
    </row>
    <row r="4" spans="1:45">
      <c r="A4" s="46" t="s">
        <v>43</v>
      </c>
      <c r="B4" s="46" t="s">
        <v>44</v>
      </c>
      <c r="C4" s="46" t="s">
        <v>45</v>
      </c>
      <c r="D4" s="48" t="s">
        <v>46</v>
      </c>
      <c r="E4" s="48" t="s">
        <v>47</v>
      </c>
      <c r="F4" s="48" t="s">
        <v>48</v>
      </c>
      <c r="G4" s="48" t="s">
        <v>49</v>
      </c>
      <c r="H4" s="32">
        <f>C2</f>
        <v>46023</v>
      </c>
      <c r="I4" s="32">
        <f>IF(H4&lt;$D$2,H4+1,"EOM")</f>
        <v>46024</v>
      </c>
      <c r="J4" s="32">
        <f t="shared" ref="J4:AL4" si="0">IF(I4&lt;$D$2,I4+1,"EOM")</f>
        <v>46025</v>
      </c>
      <c r="K4" s="32">
        <f t="shared" si="0"/>
        <v>46026</v>
      </c>
      <c r="L4" s="32">
        <f t="shared" si="0"/>
        <v>46027</v>
      </c>
      <c r="M4" s="32">
        <f t="shared" si="0"/>
        <v>46028</v>
      </c>
      <c r="N4" s="32">
        <f t="shared" si="0"/>
        <v>46029</v>
      </c>
      <c r="O4" s="32">
        <f t="shared" si="0"/>
        <v>46030</v>
      </c>
      <c r="P4" s="32">
        <f t="shared" si="0"/>
        <v>46031</v>
      </c>
      <c r="Q4" s="32">
        <f t="shared" si="0"/>
        <v>46032</v>
      </c>
      <c r="R4" s="32">
        <f t="shared" si="0"/>
        <v>46033</v>
      </c>
      <c r="S4" s="32">
        <f t="shared" si="0"/>
        <v>46034</v>
      </c>
      <c r="T4" s="32">
        <f t="shared" si="0"/>
        <v>46035</v>
      </c>
      <c r="U4" s="32">
        <f t="shared" si="0"/>
        <v>46036</v>
      </c>
      <c r="V4" s="32">
        <f t="shared" si="0"/>
        <v>46037</v>
      </c>
      <c r="W4" s="32">
        <f t="shared" si="0"/>
        <v>46038</v>
      </c>
      <c r="X4" s="32">
        <f t="shared" si="0"/>
        <v>46039</v>
      </c>
      <c r="Y4" s="32">
        <f t="shared" si="0"/>
        <v>46040</v>
      </c>
      <c r="Z4" s="32">
        <f t="shared" si="0"/>
        <v>46041</v>
      </c>
      <c r="AA4" s="32">
        <f t="shared" si="0"/>
        <v>46042</v>
      </c>
      <c r="AB4" s="32">
        <f t="shared" si="0"/>
        <v>46043</v>
      </c>
      <c r="AC4" s="32">
        <f t="shared" si="0"/>
        <v>46044</v>
      </c>
      <c r="AD4" s="32">
        <f t="shared" si="0"/>
        <v>46045</v>
      </c>
      <c r="AE4" s="32">
        <f t="shared" si="0"/>
        <v>46046</v>
      </c>
      <c r="AF4" s="32">
        <f t="shared" si="0"/>
        <v>46047</v>
      </c>
      <c r="AG4" s="32">
        <f t="shared" si="0"/>
        <v>46048</v>
      </c>
      <c r="AH4" s="32">
        <f t="shared" si="0"/>
        <v>46049</v>
      </c>
      <c r="AI4" s="32">
        <f t="shared" si="0"/>
        <v>46050</v>
      </c>
      <c r="AJ4" s="32">
        <f t="shared" si="0"/>
        <v>46051</v>
      </c>
      <c r="AK4" s="32">
        <f t="shared" si="0"/>
        <v>46052</v>
      </c>
      <c r="AL4" s="33">
        <f t="shared" si="0"/>
        <v>46053</v>
      </c>
      <c r="AM4" s="51"/>
      <c r="AN4" s="51"/>
      <c r="AO4" s="54"/>
      <c r="AP4" s="57"/>
      <c r="AQ4" s="51"/>
      <c r="AR4" s="51"/>
      <c r="AS4" s="59"/>
    </row>
    <row r="5" spans="1:45" ht="27">
      <c r="A5" s="47"/>
      <c r="B5" s="47"/>
      <c r="C5" s="47"/>
      <c r="D5" s="49"/>
      <c r="E5" s="49"/>
      <c r="F5" s="49"/>
      <c r="G5" s="49"/>
      <c r="H5" s="34" t="str">
        <f>TEXT(H4,"DDD")</f>
        <v>Thu</v>
      </c>
      <c r="I5" s="34" t="str">
        <f t="shared" ref="I5:AL5" si="1">TEXT(I4,"DDD")</f>
        <v>Fri</v>
      </c>
      <c r="J5" s="34" t="str">
        <f t="shared" si="1"/>
        <v>Sat</v>
      </c>
      <c r="K5" s="34" t="str">
        <f t="shared" si="1"/>
        <v>Sun</v>
      </c>
      <c r="L5" s="34" t="str">
        <f t="shared" si="1"/>
        <v>Mon</v>
      </c>
      <c r="M5" s="34" t="str">
        <f t="shared" si="1"/>
        <v>Tue</v>
      </c>
      <c r="N5" s="34" t="str">
        <f t="shared" si="1"/>
        <v>Wed</v>
      </c>
      <c r="O5" s="34" t="str">
        <f t="shared" si="1"/>
        <v>Thu</v>
      </c>
      <c r="P5" s="34" t="str">
        <f t="shared" si="1"/>
        <v>Fri</v>
      </c>
      <c r="Q5" s="34" t="str">
        <f t="shared" si="1"/>
        <v>Sat</v>
      </c>
      <c r="R5" s="34" t="str">
        <f t="shared" si="1"/>
        <v>Sun</v>
      </c>
      <c r="S5" s="34" t="str">
        <f t="shared" si="1"/>
        <v>Mon</v>
      </c>
      <c r="T5" s="34" t="str">
        <f t="shared" si="1"/>
        <v>Tue</v>
      </c>
      <c r="U5" s="34" t="str">
        <f t="shared" si="1"/>
        <v>Wed</v>
      </c>
      <c r="V5" s="34" t="str">
        <f t="shared" si="1"/>
        <v>Thu</v>
      </c>
      <c r="W5" s="34" t="str">
        <f t="shared" si="1"/>
        <v>Fri</v>
      </c>
      <c r="X5" s="34" t="str">
        <f t="shared" si="1"/>
        <v>Sat</v>
      </c>
      <c r="Y5" s="34" t="str">
        <f t="shared" si="1"/>
        <v>Sun</v>
      </c>
      <c r="Z5" s="34" t="str">
        <f t="shared" si="1"/>
        <v>Mon</v>
      </c>
      <c r="AA5" s="34" t="str">
        <f t="shared" si="1"/>
        <v>Tue</v>
      </c>
      <c r="AB5" s="34" t="str">
        <f t="shared" si="1"/>
        <v>Wed</v>
      </c>
      <c r="AC5" s="34" t="str">
        <f t="shared" si="1"/>
        <v>Thu</v>
      </c>
      <c r="AD5" s="34" t="str">
        <f t="shared" si="1"/>
        <v>Fri</v>
      </c>
      <c r="AE5" s="34" t="str">
        <f t="shared" si="1"/>
        <v>Sat</v>
      </c>
      <c r="AF5" s="34" t="str">
        <f t="shared" si="1"/>
        <v>Sun</v>
      </c>
      <c r="AG5" s="34" t="str">
        <f t="shared" si="1"/>
        <v>Mon</v>
      </c>
      <c r="AH5" s="34" t="str">
        <f t="shared" si="1"/>
        <v>Tue</v>
      </c>
      <c r="AI5" s="34" t="str">
        <f t="shared" si="1"/>
        <v>Wed</v>
      </c>
      <c r="AJ5" s="34" t="str">
        <f t="shared" si="1"/>
        <v>Thu</v>
      </c>
      <c r="AK5" s="34" t="str">
        <f t="shared" si="1"/>
        <v>Fri</v>
      </c>
      <c r="AL5" s="35" t="str">
        <f t="shared" si="1"/>
        <v>Sat</v>
      </c>
      <c r="AM5" s="52"/>
      <c r="AN5" s="52"/>
      <c r="AO5" s="55"/>
      <c r="AP5" s="58"/>
      <c r="AQ5" s="52"/>
      <c r="AR5" s="52"/>
      <c r="AS5" s="59"/>
    </row>
    <row r="6" spans="1:45">
      <c r="A6" s="4">
        <v>1</v>
      </c>
      <c r="B6" s="4" t="s">
        <v>50</v>
      </c>
      <c r="C6" s="4" t="s">
        <v>51</v>
      </c>
      <c r="D6" s="4" t="s">
        <v>52</v>
      </c>
      <c r="E6" s="5" t="s">
        <v>53</v>
      </c>
      <c r="F6" s="4" t="s">
        <v>54</v>
      </c>
      <c r="G6" s="4" t="s">
        <v>55</v>
      </c>
      <c r="H6" s="36" t="s">
        <v>56</v>
      </c>
      <c r="I6" s="36" t="s">
        <v>56</v>
      </c>
      <c r="J6" s="36" t="s">
        <v>57</v>
      </c>
      <c r="K6" s="36" t="s">
        <v>58</v>
      </c>
      <c r="L6" s="36" t="s">
        <v>59</v>
      </c>
      <c r="M6" s="36" t="s">
        <v>59</v>
      </c>
      <c r="N6" s="36" t="s">
        <v>59</v>
      </c>
      <c r="O6" s="36" t="s">
        <v>59</v>
      </c>
      <c r="P6" s="36" t="s">
        <v>59</v>
      </c>
      <c r="Q6" s="36" t="s">
        <v>58</v>
      </c>
      <c r="R6" s="36" t="s">
        <v>58</v>
      </c>
      <c r="S6" s="36" t="s">
        <v>60</v>
      </c>
      <c r="T6" s="36" t="s">
        <v>59</v>
      </c>
      <c r="U6" s="36" t="s">
        <v>59</v>
      </c>
      <c r="V6" s="36" t="s">
        <v>59</v>
      </c>
      <c r="W6" s="36" t="s">
        <v>59</v>
      </c>
      <c r="X6" s="36" t="s">
        <v>58</v>
      </c>
      <c r="Y6" s="36" t="s">
        <v>58</v>
      </c>
      <c r="Z6" s="36" t="s">
        <v>59</v>
      </c>
      <c r="AA6" s="36" t="s">
        <v>59</v>
      </c>
      <c r="AB6" s="36" t="s">
        <v>59</v>
      </c>
      <c r="AC6" s="36" t="s">
        <v>59</v>
      </c>
      <c r="AD6" s="36" t="s">
        <v>59</v>
      </c>
      <c r="AE6" s="36" t="s">
        <v>58</v>
      </c>
      <c r="AF6" s="36" t="s">
        <v>58</v>
      </c>
      <c r="AG6" s="36" t="s">
        <v>61</v>
      </c>
      <c r="AH6" s="36" t="s">
        <v>59</v>
      </c>
      <c r="AI6" s="36" t="s">
        <v>59</v>
      </c>
      <c r="AJ6" s="36" t="s">
        <v>59</v>
      </c>
      <c r="AK6" s="36" t="s">
        <v>59</v>
      </c>
      <c r="AL6" s="37" t="s">
        <v>58</v>
      </c>
      <c r="AM6" s="2">
        <f>COUNTIF(H6:AL6,"P")</f>
        <v>20</v>
      </c>
      <c r="AN6" s="2">
        <f>COUNTIF(H6:AL6,"A")</f>
        <v>0</v>
      </c>
      <c r="AO6" s="2">
        <f>COUNTIF($H$5:$AL$5,"Sat")+COUNTIF($H$5:$AL$5,"Sun")</f>
        <v>9</v>
      </c>
      <c r="AP6" s="2">
        <f>COUNTIF(H6:AL6,"H")</f>
        <v>1</v>
      </c>
      <c r="AQ6" s="2">
        <f>COUNTIF(H6:AL6,"PL")</f>
        <v>1</v>
      </c>
      <c r="AR6" s="2">
        <f>COUNTIF(H6:AL6,"UL")</f>
        <v>0</v>
      </c>
      <c r="AS6" s="38">
        <f>AM6+AO6+AP6+AQ6</f>
        <v>31</v>
      </c>
    </row>
    <row r="7" spans="1:45">
      <c r="A7" s="4">
        <v>2</v>
      </c>
      <c r="B7" s="4" t="s">
        <v>62</v>
      </c>
      <c r="C7" s="4" t="s">
        <v>63</v>
      </c>
      <c r="D7" s="4" t="s">
        <v>64</v>
      </c>
      <c r="E7" s="5" t="s">
        <v>53</v>
      </c>
      <c r="F7" s="4" t="s">
        <v>54</v>
      </c>
      <c r="G7" s="4" t="s">
        <v>55</v>
      </c>
      <c r="H7" s="36" t="s">
        <v>56</v>
      </c>
      <c r="I7" s="36" t="s">
        <v>56</v>
      </c>
      <c r="J7" s="36" t="s">
        <v>57</v>
      </c>
      <c r="K7" s="36" t="s">
        <v>58</v>
      </c>
      <c r="L7" s="36" t="s">
        <v>59</v>
      </c>
      <c r="M7" s="36" t="s">
        <v>59</v>
      </c>
      <c r="N7" s="36" t="s">
        <v>59</v>
      </c>
      <c r="O7" s="36" t="s">
        <v>59</v>
      </c>
      <c r="P7" s="36" t="s">
        <v>65</v>
      </c>
      <c r="Q7" s="36" t="s">
        <v>58</v>
      </c>
      <c r="R7" s="36" t="s">
        <v>58</v>
      </c>
      <c r="S7" s="36" t="s">
        <v>60</v>
      </c>
      <c r="T7" s="36" t="s">
        <v>59</v>
      </c>
      <c r="U7" s="36" t="s">
        <v>59</v>
      </c>
      <c r="V7" s="36" t="s">
        <v>59</v>
      </c>
      <c r="W7" s="36" t="s">
        <v>59</v>
      </c>
      <c r="X7" s="36" t="s">
        <v>58</v>
      </c>
      <c r="Y7" s="36" t="s">
        <v>58</v>
      </c>
      <c r="Z7" s="36" t="s">
        <v>59</v>
      </c>
      <c r="AA7" s="36" t="s">
        <v>59</v>
      </c>
      <c r="AB7" s="36" t="s">
        <v>59</v>
      </c>
      <c r="AC7" s="36" t="s">
        <v>59</v>
      </c>
      <c r="AD7" s="36" t="s">
        <v>59</v>
      </c>
      <c r="AE7" s="36" t="s">
        <v>58</v>
      </c>
      <c r="AF7" s="36" t="s">
        <v>58</v>
      </c>
      <c r="AG7" s="36" t="s">
        <v>61</v>
      </c>
      <c r="AH7" s="36" t="s">
        <v>59</v>
      </c>
      <c r="AI7" s="36" t="s">
        <v>59</v>
      </c>
      <c r="AJ7" s="36" t="s">
        <v>59</v>
      </c>
      <c r="AK7" s="36" t="s">
        <v>59</v>
      </c>
      <c r="AL7" s="37" t="s">
        <v>58</v>
      </c>
      <c r="AM7" s="2">
        <f t="shared" ref="AM7:AM25" si="2">COUNTIF(H7:AL7,"P")</f>
        <v>19</v>
      </c>
      <c r="AN7" s="2">
        <f t="shared" ref="AN7:AN25" si="3">COUNTIF(H7:AL7,"A")</f>
        <v>1</v>
      </c>
      <c r="AO7" s="2">
        <f t="shared" ref="AO7:AO25" si="4">COUNTIF($H$5:$AL$5,"Sat")+COUNTIF($H$5:$AL$5,"Sun")</f>
        <v>9</v>
      </c>
      <c r="AP7" s="2">
        <f t="shared" ref="AP7:AP25" si="5">COUNTIF(H7:AL7,"H")</f>
        <v>1</v>
      </c>
      <c r="AQ7" s="2">
        <f t="shared" ref="AQ7:AQ25" si="6">COUNTIF(H7:AL7,"PL")</f>
        <v>1</v>
      </c>
      <c r="AR7" s="2">
        <f t="shared" ref="AR7:AR25" si="7">COUNTIF(H7:AL7,"UL")</f>
        <v>0</v>
      </c>
      <c r="AS7" s="38">
        <f t="shared" ref="AS7:AS25" si="8">AM7+AO7+AP7+AQ7</f>
        <v>30</v>
      </c>
    </row>
    <row r="8" spans="1:45">
      <c r="A8" s="4">
        <v>3</v>
      </c>
      <c r="B8" s="4" t="s">
        <v>66</v>
      </c>
      <c r="C8" s="4" t="s">
        <v>67</v>
      </c>
      <c r="D8" s="4" t="s">
        <v>68</v>
      </c>
      <c r="E8" s="5" t="s">
        <v>53</v>
      </c>
      <c r="F8" s="4" t="s">
        <v>54</v>
      </c>
      <c r="G8" s="4" t="s">
        <v>69</v>
      </c>
      <c r="H8" s="36" t="s">
        <v>56</v>
      </c>
      <c r="I8" s="36" t="s">
        <v>56</v>
      </c>
      <c r="J8" s="36" t="s">
        <v>57</v>
      </c>
      <c r="K8" s="36" t="s">
        <v>58</v>
      </c>
      <c r="L8" s="36" t="s">
        <v>59</v>
      </c>
      <c r="M8" s="36" t="s">
        <v>59</v>
      </c>
      <c r="N8" s="36" t="s">
        <v>59</v>
      </c>
      <c r="O8" s="36" t="s">
        <v>59</v>
      </c>
      <c r="P8" s="36" t="s">
        <v>65</v>
      </c>
      <c r="Q8" s="36" t="s">
        <v>58</v>
      </c>
      <c r="R8" s="36" t="s">
        <v>58</v>
      </c>
      <c r="S8" s="36" t="s">
        <v>59</v>
      </c>
      <c r="T8" s="36" t="s">
        <v>59</v>
      </c>
      <c r="U8" s="36" t="s">
        <v>59</v>
      </c>
      <c r="V8" s="36" t="s">
        <v>59</v>
      </c>
      <c r="W8" s="36" t="s">
        <v>59</v>
      </c>
      <c r="X8" s="36" t="s">
        <v>58</v>
      </c>
      <c r="Y8" s="36" t="s">
        <v>58</v>
      </c>
      <c r="Z8" s="36" t="s">
        <v>59</v>
      </c>
      <c r="AA8" s="36" t="s">
        <v>59</v>
      </c>
      <c r="AB8" s="36" t="s">
        <v>59</v>
      </c>
      <c r="AC8" s="36" t="s">
        <v>59</v>
      </c>
      <c r="AD8" s="36" t="s">
        <v>59</v>
      </c>
      <c r="AE8" s="36" t="s">
        <v>58</v>
      </c>
      <c r="AF8" s="36" t="s">
        <v>58</v>
      </c>
      <c r="AG8" s="36" t="s">
        <v>61</v>
      </c>
      <c r="AH8" s="36" t="s">
        <v>59</v>
      </c>
      <c r="AI8" s="36" t="s">
        <v>59</v>
      </c>
      <c r="AJ8" s="36" t="s">
        <v>59</v>
      </c>
      <c r="AK8" s="36" t="s">
        <v>59</v>
      </c>
      <c r="AL8" s="37" t="s">
        <v>58</v>
      </c>
      <c r="AM8" s="2">
        <f t="shared" si="2"/>
        <v>20</v>
      </c>
      <c r="AN8" s="2">
        <f t="shared" si="3"/>
        <v>1</v>
      </c>
      <c r="AO8" s="2">
        <f t="shared" si="4"/>
        <v>9</v>
      </c>
      <c r="AP8" s="2">
        <f t="shared" si="5"/>
        <v>1</v>
      </c>
      <c r="AQ8" s="2">
        <f t="shared" si="6"/>
        <v>0</v>
      </c>
      <c r="AR8" s="2">
        <f t="shared" si="7"/>
        <v>0</v>
      </c>
      <c r="AS8" s="38">
        <f t="shared" si="8"/>
        <v>30</v>
      </c>
    </row>
    <row r="9" spans="1:45">
      <c r="A9" s="4">
        <v>4</v>
      </c>
      <c r="B9" s="4" t="s">
        <v>70</v>
      </c>
      <c r="C9" s="4" t="s">
        <v>71</v>
      </c>
      <c r="D9" s="4" t="s">
        <v>64</v>
      </c>
      <c r="E9" s="5" t="s">
        <v>53</v>
      </c>
      <c r="F9" s="4" t="s">
        <v>54</v>
      </c>
      <c r="G9" s="4" t="s">
        <v>55</v>
      </c>
      <c r="H9" s="36" t="s">
        <v>56</v>
      </c>
      <c r="I9" s="36" t="s">
        <v>56</v>
      </c>
      <c r="J9" s="36" t="s">
        <v>57</v>
      </c>
      <c r="K9" s="36" t="s">
        <v>58</v>
      </c>
      <c r="L9" s="36" t="s">
        <v>59</v>
      </c>
      <c r="M9" s="36" t="s">
        <v>59</v>
      </c>
      <c r="N9" s="36" t="s">
        <v>59</v>
      </c>
      <c r="O9" s="36" t="s">
        <v>59</v>
      </c>
      <c r="P9" s="36" t="s">
        <v>59</v>
      </c>
      <c r="Q9" s="36" t="s">
        <v>58</v>
      </c>
      <c r="R9" s="36" t="s">
        <v>58</v>
      </c>
      <c r="S9" s="36" t="s">
        <v>59</v>
      </c>
      <c r="T9" s="36" t="s">
        <v>59</v>
      </c>
      <c r="U9" s="36" t="s">
        <v>59</v>
      </c>
      <c r="V9" s="36" t="s">
        <v>59</v>
      </c>
      <c r="W9" s="36" t="s">
        <v>59</v>
      </c>
      <c r="X9" s="36" t="s">
        <v>58</v>
      </c>
      <c r="Y9" s="36" t="s">
        <v>58</v>
      </c>
      <c r="Z9" s="36" t="s">
        <v>59</v>
      </c>
      <c r="AA9" s="36" t="s">
        <v>59</v>
      </c>
      <c r="AB9" s="36" t="s">
        <v>59</v>
      </c>
      <c r="AC9" s="36" t="s">
        <v>59</v>
      </c>
      <c r="AD9" s="36" t="s">
        <v>59</v>
      </c>
      <c r="AE9" s="36" t="s">
        <v>58</v>
      </c>
      <c r="AF9" s="36" t="s">
        <v>58</v>
      </c>
      <c r="AG9" s="36" t="s">
        <v>61</v>
      </c>
      <c r="AH9" s="36" t="s">
        <v>59</v>
      </c>
      <c r="AI9" s="36" t="s">
        <v>59</v>
      </c>
      <c r="AJ9" s="36" t="s">
        <v>59</v>
      </c>
      <c r="AK9" s="36" t="s">
        <v>59</v>
      </c>
      <c r="AL9" s="37" t="s">
        <v>58</v>
      </c>
      <c r="AM9" s="2">
        <f t="shared" si="2"/>
        <v>21</v>
      </c>
      <c r="AN9" s="2">
        <f t="shared" si="3"/>
        <v>0</v>
      </c>
      <c r="AO9" s="2">
        <f t="shared" si="4"/>
        <v>9</v>
      </c>
      <c r="AP9" s="2">
        <f t="shared" si="5"/>
        <v>1</v>
      </c>
      <c r="AQ9" s="2">
        <f t="shared" si="6"/>
        <v>0</v>
      </c>
      <c r="AR9" s="2">
        <f t="shared" si="7"/>
        <v>0</v>
      </c>
      <c r="AS9" s="38">
        <f t="shared" si="8"/>
        <v>31</v>
      </c>
    </row>
    <row r="10" spans="1:45">
      <c r="A10" s="4">
        <v>5</v>
      </c>
      <c r="B10" s="4" t="s">
        <v>72</v>
      </c>
      <c r="C10" s="4" t="s">
        <v>73</v>
      </c>
      <c r="D10" s="4" t="s">
        <v>74</v>
      </c>
      <c r="E10" s="5" t="s">
        <v>53</v>
      </c>
      <c r="F10" s="4" t="s">
        <v>54</v>
      </c>
      <c r="G10" s="4" t="s">
        <v>55</v>
      </c>
      <c r="H10" s="36" t="s">
        <v>56</v>
      </c>
      <c r="I10" s="36" t="s">
        <v>56</v>
      </c>
      <c r="J10" s="36" t="s">
        <v>57</v>
      </c>
      <c r="K10" s="36" t="s">
        <v>58</v>
      </c>
      <c r="L10" s="36" t="s">
        <v>59</v>
      </c>
      <c r="M10" s="36" t="s">
        <v>59</v>
      </c>
      <c r="N10" s="36" t="s">
        <v>59</v>
      </c>
      <c r="O10" s="36" t="s">
        <v>59</v>
      </c>
      <c r="P10" s="36" t="s">
        <v>65</v>
      </c>
      <c r="Q10" s="36" t="s">
        <v>58</v>
      </c>
      <c r="R10" s="36" t="s">
        <v>58</v>
      </c>
      <c r="S10" s="36" t="s">
        <v>59</v>
      </c>
      <c r="T10" s="36" t="s">
        <v>59</v>
      </c>
      <c r="U10" s="36" t="s">
        <v>59</v>
      </c>
      <c r="V10" s="36" t="s">
        <v>60</v>
      </c>
      <c r="W10" s="36" t="s">
        <v>59</v>
      </c>
      <c r="X10" s="36" t="s">
        <v>58</v>
      </c>
      <c r="Y10" s="36" t="s">
        <v>58</v>
      </c>
      <c r="Z10" s="36" t="s">
        <v>59</v>
      </c>
      <c r="AA10" s="36" t="s">
        <v>59</v>
      </c>
      <c r="AB10" s="36" t="s">
        <v>75</v>
      </c>
      <c r="AC10" s="36" t="s">
        <v>59</v>
      </c>
      <c r="AD10" s="36" t="s">
        <v>59</v>
      </c>
      <c r="AE10" s="36" t="s">
        <v>58</v>
      </c>
      <c r="AF10" s="36" t="s">
        <v>58</v>
      </c>
      <c r="AG10" s="36" t="s">
        <v>61</v>
      </c>
      <c r="AH10" s="36" t="s">
        <v>59</v>
      </c>
      <c r="AI10" s="36" t="s">
        <v>59</v>
      </c>
      <c r="AJ10" s="36" t="s">
        <v>59</v>
      </c>
      <c r="AK10" s="36" t="s">
        <v>59</v>
      </c>
      <c r="AL10" s="37" t="s">
        <v>58</v>
      </c>
      <c r="AM10" s="2">
        <f t="shared" si="2"/>
        <v>18</v>
      </c>
      <c r="AN10" s="2">
        <f t="shared" si="3"/>
        <v>1</v>
      </c>
      <c r="AO10" s="2">
        <f t="shared" si="4"/>
        <v>9</v>
      </c>
      <c r="AP10" s="2">
        <f t="shared" si="5"/>
        <v>1</v>
      </c>
      <c r="AQ10" s="2">
        <f t="shared" si="6"/>
        <v>1</v>
      </c>
      <c r="AR10" s="2">
        <f t="shared" si="7"/>
        <v>1</v>
      </c>
      <c r="AS10" s="38">
        <f t="shared" si="8"/>
        <v>29</v>
      </c>
    </row>
    <row r="11" spans="1:45">
      <c r="A11" s="4">
        <v>6</v>
      </c>
      <c r="B11" s="4" t="s">
        <v>76</v>
      </c>
      <c r="C11" s="4" t="s">
        <v>77</v>
      </c>
      <c r="D11" s="4" t="s">
        <v>52</v>
      </c>
      <c r="E11" s="5" t="s">
        <v>53</v>
      </c>
      <c r="F11" s="4" t="s">
        <v>78</v>
      </c>
      <c r="G11" s="4" t="s">
        <v>69</v>
      </c>
      <c r="H11" s="36" t="s">
        <v>56</v>
      </c>
      <c r="I11" s="36" t="s">
        <v>56</v>
      </c>
      <c r="J11" s="36" t="s">
        <v>57</v>
      </c>
      <c r="K11" s="36" t="s">
        <v>58</v>
      </c>
      <c r="L11" s="36" t="s">
        <v>59</v>
      </c>
      <c r="M11" s="36" t="s">
        <v>59</v>
      </c>
      <c r="N11" s="36" t="s">
        <v>59</v>
      </c>
      <c r="O11" s="36" t="s">
        <v>59</v>
      </c>
      <c r="P11" s="36" t="s">
        <v>59</v>
      </c>
      <c r="Q11" s="36" t="s">
        <v>58</v>
      </c>
      <c r="R11" s="36" t="s">
        <v>58</v>
      </c>
      <c r="S11" s="36" t="s">
        <v>59</v>
      </c>
      <c r="T11" s="36" t="s">
        <v>59</v>
      </c>
      <c r="U11" s="36" t="s">
        <v>59</v>
      </c>
      <c r="V11" s="36" t="s">
        <v>59</v>
      </c>
      <c r="W11" s="36" t="s">
        <v>59</v>
      </c>
      <c r="X11" s="36" t="s">
        <v>58</v>
      </c>
      <c r="Y11" s="36" t="s">
        <v>58</v>
      </c>
      <c r="Z11" s="36" t="s">
        <v>59</v>
      </c>
      <c r="AA11" s="36" t="s">
        <v>59</v>
      </c>
      <c r="AB11" s="36" t="s">
        <v>59</v>
      </c>
      <c r="AC11" s="36" t="s">
        <v>59</v>
      </c>
      <c r="AD11" s="36" t="s">
        <v>59</v>
      </c>
      <c r="AE11" s="36" t="s">
        <v>58</v>
      </c>
      <c r="AF11" s="36" t="s">
        <v>58</v>
      </c>
      <c r="AG11" s="36" t="s">
        <v>61</v>
      </c>
      <c r="AH11" s="36" t="s">
        <v>59</v>
      </c>
      <c r="AI11" s="36" t="s">
        <v>59</v>
      </c>
      <c r="AJ11" s="36" t="s">
        <v>75</v>
      </c>
      <c r="AK11" s="36" t="s">
        <v>59</v>
      </c>
      <c r="AL11" s="37" t="s">
        <v>58</v>
      </c>
      <c r="AM11" s="2">
        <f t="shared" si="2"/>
        <v>20</v>
      </c>
      <c r="AN11" s="2">
        <f t="shared" si="3"/>
        <v>0</v>
      </c>
      <c r="AO11" s="2">
        <f t="shared" si="4"/>
        <v>9</v>
      </c>
      <c r="AP11" s="2">
        <f t="shared" si="5"/>
        <v>1</v>
      </c>
      <c r="AQ11" s="2">
        <f t="shared" si="6"/>
        <v>0</v>
      </c>
      <c r="AR11" s="2">
        <f t="shared" si="7"/>
        <v>1</v>
      </c>
      <c r="AS11" s="38">
        <f t="shared" si="8"/>
        <v>30</v>
      </c>
    </row>
    <row r="12" spans="1:45">
      <c r="A12" s="4">
        <v>7</v>
      </c>
      <c r="B12" s="4" t="s">
        <v>79</v>
      </c>
      <c r="C12" s="4" t="s">
        <v>80</v>
      </c>
      <c r="D12" s="4" t="s">
        <v>81</v>
      </c>
      <c r="E12" s="5" t="s">
        <v>53</v>
      </c>
      <c r="F12" s="4" t="s">
        <v>78</v>
      </c>
      <c r="G12" s="4" t="s">
        <v>69</v>
      </c>
      <c r="H12" s="36" t="s">
        <v>56</v>
      </c>
      <c r="I12" s="36" t="s">
        <v>56</v>
      </c>
      <c r="J12" s="36" t="s">
        <v>57</v>
      </c>
      <c r="K12" s="36" t="s">
        <v>58</v>
      </c>
      <c r="L12" s="36" t="s">
        <v>59</v>
      </c>
      <c r="M12" s="36" t="s">
        <v>59</v>
      </c>
      <c r="N12" s="36" t="s">
        <v>65</v>
      </c>
      <c r="O12" s="36" t="s">
        <v>59</v>
      </c>
      <c r="P12" s="36" t="s">
        <v>59</v>
      </c>
      <c r="Q12" s="36" t="s">
        <v>58</v>
      </c>
      <c r="R12" s="36" t="s">
        <v>58</v>
      </c>
      <c r="S12" s="36" t="s">
        <v>59</v>
      </c>
      <c r="T12" s="36" t="s">
        <v>59</v>
      </c>
      <c r="U12" s="36" t="s">
        <v>59</v>
      </c>
      <c r="V12" s="36" t="s">
        <v>59</v>
      </c>
      <c r="W12" s="36" t="s">
        <v>59</v>
      </c>
      <c r="X12" s="36" t="s">
        <v>58</v>
      </c>
      <c r="Y12" s="36" t="s">
        <v>58</v>
      </c>
      <c r="Z12" s="36" t="s">
        <v>59</v>
      </c>
      <c r="AA12" s="36" t="s">
        <v>59</v>
      </c>
      <c r="AB12" s="36" t="s">
        <v>59</v>
      </c>
      <c r="AC12" s="36" t="s">
        <v>59</v>
      </c>
      <c r="AD12" s="36" t="s">
        <v>59</v>
      </c>
      <c r="AE12" s="36" t="s">
        <v>58</v>
      </c>
      <c r="AF12" s="36" t="s">
        <v>58</v>
      </c>
      <c r="AG12" s="36" t="s">
        <v>61</v>
      </c>
      <c r="AH12" s="36" t="s">
        <v>59</v>
      </c>
      <c r="AI12" s="36" t="s">
        <v>59</v>
      </c>
      <c r="AJ12" s="36" t="s">
        <v>59</v>
      </c>
      <c r="AK12" s="36" t="s">
        <v>59</v>
      </c>
      <c r="AL12" s="37" t="s">
        <v>58</v>
      </c>
      <c r="AM12" s="2">
        <f t="shared" si="2"/>
        <v>20</v>
      </c>
      <c r="AN12" s="2">
        <f t="shared" si="3"/>
        <v>1</v>
      </c>
      <c r="AO12" s="2">
        <f t="shared" si="4"/>
        <v>9</v>
      </c>
      <c r="AP12" s="2">
        <f t="shared" si="5"/>
        <v>1</v>
      </c>
      <c r="AQ12" s="2">
        <f t="shared" si="6"/>
        <v>0</v>
      </c>
      <c r="AR12" s="2">
        <f t="shared" si="7"/>
        <v>0</v>
      </c>
      <c r="AS12" s="38">
        <f t="shared" si="8"/>
        <v>30</v>
      </c>
    </row>
    <row r="13" spans="1:45">
      <c r="A13" s="4">
        <v>8</v>
      </c>
      <c r="B13" s="4" t="s">
        <v>82</v>
      </c>
      <c r="C13" s="4" t="s">
        <v>83</v>
      </c>
      <c r="D13" s="4" t="s">
        <v>84</v>
      </c>
      <c r="E13" s="5" t="s">
        <v>53</v>
      </c>
      <c r="F13" s="4" t="s">
        <v>78</v>
      </c>
      <c r="G13" s="4" t="s">
        <v>69</v>
      </c>
      <c r="H13" s="36" t="s">
        <v>56</v>
      </c>
      <c r="I13" s="36" t="s">
        <v>56</v>
      </c>
      <c r="J13" s="36" t="s">
        <v>57</v>
      </c>
      <c r="K13" s="36" t="s">
        <v>58</v>
      </c>
      <c r="L13" s="36" t="s">
        <v>59</v>
      </c>
      <c r="M13" s="36" t="s">
        <v>59</v>
      </c>
      <c r="N13" s="36" t="s">
        <v>59</v>
      </c>
      <c r="O13" s="36" t="s">
        <v>59</v>
      </c>
      <c r="P13" s="36" t="s">
        <v>59</v>
      </c>
      <c r="Q13" s="36" t="s">
        <v>58</v>
      </c>
      <c r="R13" s="36" t="s">
        <v>58</v>
      </c>
      <c r="S13" s="36" t="s">
        <v>59</v>
      </c>
      <c r="T13" s="36" t="s">
        <v>59</v>
      </c>
      <c r="U13" s="36" t="s">
        <v>59</v>
      </c>
      <c r="V13" s="36" t="s">
        <v>59</v>
      </c>
      <c r="W13" s="36" t="s">
        <v>59</v>
      </c>
      <c r="X13" s="36" t="s">
        <v>58</v>
      </c>
      <c r="Y13" s="36" t="s">
        <v>58</v>
      </c>
      <c r="Z13" s="36" t="s">
        <v>59</v>
      </c>
      <c r="AA13" s="36" t="s">
        <v>75</v>
      </c>
      <c r="AB13" s="36" t="s">
        <v>59</v>
      </c>
      <c r="AC13" s="36" t="s">
        <v>59</v>
      </c>
      <c r="AD13" s="36" t="s">
        <v>59</v>
      </c>
      <c r="AE13" s="36" t="s">
        <v>57</v>
      </c>
      <c r="AF13" s="36" t="s">
        <v>58</v>
      </c>
      <c r="AG13" s="36" t="s">
        <v>61</v>
      </c>
      <c r="AH13" s="36" t="s">
        <v>75</v>
      </c>
      <c r="AI13" s="36" t="s">
        <v>59</v>
      </c>
      <c r="AJ13" s="36" t="s">
        <v>59</v>
      </c>
      <c r="AK13" s="36" t="s">
        <v>59</v>
      </c>
      <c r="AL13" s="37" t="s">
        <v>58</v>
      </c>
      <c r="AM13" s="2">
        <f t="shared" si="2"/>
        <v>19</v>
      </c>
      <c r="AN13" s="2">
        <f t="shared" si="3"/>
        <v>0</v>
      </c>
      <c r="AO13" s="2">
        <f t="shared" si="4"/>
        <v>9</v>
      </c>
      <c r="AP13" s="2">
        <f t="shared" si="5"/>
        <v>1</v>
      </c>
      <c r="AQ13" s="2">
        <f t="shared" si="6"/>
        <v>0</v>
      </c>
      <c r="AR13" s="2">
        <f t="shared" si="7"/>
        <v>2</v>
      </c>
      <c r="AS13" s="38">
        <f t="shared" si="8"/>
        <v>29</v>
      </c>
    </row>
    <row r="14" spans="1:45">
      <c r="A14" s="4">
        <v>9</v>
      </c>
      <c r="B14" s="4" t="s">
        <v>85</v>
      </c>
      <c r="C14" s="4" t="s">
        <v>86</v>
      </c>
      <c r="D14" s="4" t="s">
        <v>64</v>
      </c>
      <c r="E14" s="5" t="s">
        <v>53</v>
      </c>
      <c r="F14" s="4" t="s">
        <v>54</v>
      </c>
      <c r="G14" s="4" t="s">
        <v>69</v>
      </c>
      <c r="H14" s="36" t="s">
        <v>56</v>
      </c>
      <c r="I14" s="36" t="s">
        <v>56</v>
      </c>
      <c r="J14" s="36" t="s">
        <v>57</v>
      </c>
      <c r="K14" s="36" t="s">
        <v>58</v>
      </c>
      <c r="L14" s="36" t="s">
        <v>59</v>
      </c>
      <c r="M14" s="36" t="s">
        <v>59</v>
      </c>
      <c r="N14" s="36" t="s">
        <v>59</v>
      </c>
      <c r="O14" s="36" t="s">
        <v>65</v>
      </c>
      <c r="P14" s="36" t="s">
        <v>59</v>
      </c>
      <c r="Q14" s="36" t="s">
        <v>58</v>
      </c>
      <c r="R14" s="36" t="s">
        <v>58</v>
      </c>
      <c r="S14" s="36" t="s">
        <v>59</v>
      </c>
      <c r="T14" s="36" t="s">
        <v>59</v>
      </c>
      <c r="U14" s="36" t="s">
        <v>75</v>
      </c>
      <c r="V14" s="36" t="s">
        <v>59</v>
      </c>
      <c r="W14" s="36" t="s">
        <v>59</v>
      </c>
      <c r="X14" s="36" t="s">
        <v>58</v>
      </c>
      <c r="Y14" s="36" t="s">
        <v>58</v>
      </c>
      <c r="Z14" s="36" t="s">
        <v>59</v>
      </c>
      <c r="AA14" s="36" t="s">
        <v>59</v>
      </c>
      <c r="AB14" s="36" t="s">
        <v>59</v>
      </c>
      <c r="AC14" s="36" t="s">
        <v>59</v>
      </c>
      <c r="AD14" s="36" t="s">
        <v>59</v>
      </c>
      <c r="AE14" s="36" t="s">
        <v>58</v>
      </c>
      <c r="AF14" s="36" t="s">
        <v>58</v>
      </c>
      <c r="AG14" s="36" t="s">
        <v>61</v>
      </c>
      <c r="AH14" s="36" t="s">
        <v>59</v>
      </c>
      <c r="AI14" s="36" t="s">
        <v>59</v>
      </c>
      <c r="AJ14" s="36" t="s">
        <v>59</v>
      </c>
      <c r="AK14" s="36" t="s">
        <v>59</v>
      </c>
      <c r="AL14" s="37" t="s">
        <v>58</v>
      </c>
      <c r="AM14" s="2">
        <f t="shared" si="2"/>
        <v>19</v>
      </c>
      <c r="AN14" s="2">
        <f t="shared" si="3"/>
        <v>1</v>
      </c>
      <c r="AO14" s="2">
        <f t="shared" si="4"/>
        <v>9</v>
      </c>
      <c r="AP14" s="2">
        <f t="shared" si="5"/>
        <v>1</v>
      </c>
      <c r="AQ14" s="2">
        <f t="shared" si="6"/>
        <v>0</v>
      </c>
      <c r="AR14" s="2">
        <f t="shared" si="7"/>
        <v>1</v>
      </c>
      <c r="AS14" s="38">
        <f t="shared" si="8"/>
        <v>29</v>
      </c>
    </row>
    <row r="15" spans="1:45">
      <c r="A15" s="4">
        <v>10</v>
      </c>
      <c r="B15" s="4" t="s">
        <v>87</v>
      </c>
      <c r="C15" s="4" t="s">
        <v>88</v>
      </c>
      <c r="D15" s="4" t="s">
        <v>89</v>
      </c>
      <c r="E15" s="5" t="s">
        <v>53</v>
      </c>
      <c r="F15" s="4" t="s">
        <v>54</v>
      </c>
      <c r="G15" s="4" t="s">
        <v>69</v>
      </c>
      <c r="H15" s="36" t="s">
        <v>56</v>
      </c>
      <c r="I15" s="36" t="s">
        <v>56</v>
      </c>
      <c r="J15" s="36" t="s">
        <v>57</v>
      </c>
      <c r="K15" s="36" t="s">
        <v>58</v>
      </c>
      <c r="L15" s="36" t="s">
        <v>59</v>
      </c>
      <c r="M15" s="36" t="s">
        <v>59</v>
      </c>
      <c r="N15" s="36" t="s">
        <v>65</v>
      </c>
      <c r="O15" s="36" t="s">
        <v>59</v>
      </c>
      <c r="P15" s="36" t="s">
        <v>59</v>
      </c>
      <c r="Q15" s="36" t="s">
        <v>58</v>
      </c>
      <c r="R15" s="36" t="s">
        <v>58</v>
      </c>
      <c r="S15" s="36" t="s">
        <v>59</v>
      </c>
      <c r="T15" s="36" t="s">
        <v>59</v>
      </c>
      <c r="U15" s="36" t="s">
        <v>65</v>
      </c>
      <c r="V15" s="36" t="s">
        <v>59</v>
      </c>
      <c r="W15" s="36" t="s">
        <v>59</v>
      </c>
      <c r="X15" s="36" t="s">
        <v>58</v>
      </c>
      <c r="Y15" s="36" t="s">
        <v>58</v>
      </c>
      <c r="Z15" s="36" t="s">
        <v>59</v>
      </c>
      <c r="AA15" s="36" t="s">
        <v>59</v>
      </c>
      <c r="AB15" s="36" t="s">
        <v>59</v>
      </c>
      <c r="AC15" s="36" t="s">
        <v>56</v>
      </c>
      <c r="AD15" s="36" t="s">
        <v>56</v>
      </c>
      <c r="AE15" s="36" t="s">
        <v>58</v>
      </c>
      <c r="AF15" s="36" t="s">
        <v>58</v>
      </c>
      <c r="AG15" s="36" t="s">
        <v>61</v>
      </c>
      <c r="AH15" s="36" t="s">
        <v>65</v>
      </c>
      <c r="AI15" s="36" t="s">
        <v>75</v>
      </c>
      <c r="AJ15" s="36" t="s">
        <v>59</v>
      </c>
      <c r="AK15" s="36" t="s">
        <v>75</v>
      </c>
      <c r="AL15" s="37" t="s">
        <v>58</v>
      </c>
      <c r="AM15" s="2">
        <f t="shared" si="2"/>
        <v>16</v>
      </c>
      <c r="AN15" s="2">
        <f t="shared" si="3"/>
        <v>3</v>
      </c>
      <c r="AO15" s="2">
        <f t="shared" si="4"/>
        <v>9</v>
      </c>
      <c r="AP15" s="2">
        <f t="shared" si="5"/>
        <v>1</v>
      </c>
      <c r="AQ15" s="2">
        <f t="shared" si="6"/>
        <v>0</v>
      </c>
      <c r="AR15" s="2">
        <f t="shared" si="7"/>
        <v>2</v>
      </c>
      <c r="AS15" s="38">
        <f t="shared" si="8"/>
        <v>26</v>
      </c>
    </row>
    <row r="16" spans="1:45">
      <c r="A16" s="4">
        <v>11</v>
      </c>
      <c r="B16" s="4" t="s">
        <v>90</v>
      </c>
      <c r="C16" s="4" t="s">
        <v>91</v>
      </c>
      <c r="D16" s="4" t="s">
        <v>92</v>
      </c>
      <c r="E16" s="5" t="s">
        <v>53</v>
      </c>
      <c r="F16" s="4" t="s">
        <v>54</v>
      </c>
      <c r="G16" s="4" t="s">
        <v>69</v>
      </c>
      <c r="H16" s="36" t="s">
        <v>56</v>
      </c>
      <c r="I16" s="36" t="s">
        <v>56</v>
      </c>
      <c r="J16" s="36" t="s">
        <v>57</v>
      </c>
      <c r="K16" s="36" t="s">
        <v>58</v>
      </c>
      <c r="L16" s="36" t="s">
        <v>59</v>
      </c>
      <c r="M16" s="36" t="s">
        <v>59</v>
      </c>
      <c r="N16" s="36" t="s">
        <v>59</v>
      </c>
      <c r="O16" s="36" t="s">
        <v>59</v>
      </c>
      <c r="P16" s="36" t="s">
        <v>59</v>
      </c>
      <c r="Q16" s="36" t="s">
        <v>58</v>
      </c>
      <c r="R16" s="36" t="s">
        <v>58</v>
      </c>
      <c r="S16" s="36" t="s">
        <v>59</v>
      </c>
      <c r="T16" s="36" t="s">
        <v>59</v>
      </c>
      <c r="U16" s="36" t="s">
        <v>59</v>
      </c>
      <c r="V16" s="36" t="s">
        <v>59</v>
      </c>
      <c r="W16" s="36" t="s">
        <v>59</v>
      </c>
      <c r="X16" s="36" t="s">
        <v>58</v>
      </c>
      <c r="Y16" s="36" t="s">
        <v>58</v>
      </c>
      <c r="Z16" s="36" t="s">
        <v>59</v>
      </c>
      <c r="AA16" s="36" t="s">
        <v>59</v>
      </c>
      <c r="AB16" s="36" t="s">
        <v>59</v>
      </c>
      <c r="AC16" s="36" t="s">
        <v>56</v>
      </c>
      <c r="AD16" s="36" t="s">
        <v>56</v>
      </c>
      <c r="AE16" s="36" t="s">
        <v>58</v>
      </c>
      <c r="AF16" s="36" t="s">
        <v>58</v>
      </c>
      <c r="AG16" s="36" t="s">
        <v>61</v>
      </c>
      <c r="AH16" s="36" t="s">
        <v>59</v>
      </c>
      <c r="AI16" s="36" t="s">
        <v>65</v>
      </c>
      <c r="AJ16" s="36" t="s">
        <v>75</v>
      </c>
      <c r="AK16" s="36" t="s">
        <v>59</v>
      </c>
      <c r="AL16" s="37" t="s">
        <v>58</v>
      </c>
      <c r="AM16" s="2">
        <f t="shared" si="2"/>
        <v>19</v>
      </c>
      <c r="AN16" s="2">
        <f t="shared" si="3"/>
        <v>1</v>
      </c>
      <c r="AO16" s="2">
        <f t="shared" si="4"/>
        <v>9</v>
      </c>
      <c r="AP16" s="2">
        <f t="shared" si="5"/>
        <v>1</v>
      </c>
      <c r="AQ16" s="2">
        <f t="shared" si="6"/>
        <v>0</v>
      </c>
      <c r="AR16" s="2">
        <f t="shared" si="7"/>
        <v>1</v>
      </c>
      <c r="AS16" s="38">
        <f t="shared" si="8"/>
        <v>29</v>
      </c>
    </row>
    <row r="17" spans="1:45">
      <c r="A17" s="4">
        <v>12</v>
      </c>
      <c r="B17" s="4" t="s">
        <v>93</v>
      </c>
      <c r="C17" s="4" t="s">
        <v>94</v>
      </c>
      <c r="D17" s="4" t="s">
        <v>95</v>
      </c>
      <c r="E17" s="5" t="s">
        <v>53</v>
      </c>
      <c r="F17" s="4" t="s">
        <v>54</v>
      </c>
      <c r="G17" s="4" t="s">
        <v>69</v>
      </c>
      <c r="H17" s="36" t="s">
        <v>56</v>
      </c>
      <c r="I17" s="36" t="s">
        <v>56</v>
      </c>
      <c r="J17" s="36" t="s">
        <v>57</v>
      </c>
      <c r="K17" s="36" t="s">
        <v>58</v>
      </c>
      <c r="L17" s="36" t="s">
        <v>59</v>
      </c>
      <c r="M17" s="36" t="s">
        <v>59</v>
      </c>
      <c r="N17" s="36" t="s">
        <v>59</v>
      </c>
      <c r="O17" s="36" t="s">
        <v>59</v>
      </c>
      <c r="P17" s="36" t="s">
        <v>59</v>
      </c>
      <c r="Q17" s="36" t="s">
        <v>58</v>
      </c>
      <c r="R17" s="36" t="s">
        <v>58</v>
      </c>
      <c r="S17" s="36" t="s">
        <v>59</v>
      </c>
      <c r="T17" s="36" t="s">
        <v>59</v>
      </c>
      <c r="U17" s="36" t="s">
        <v>59</v>
      </c>
      <c r="V17" s="36" t="s">
        <v>59</v>
      </c>
      <c r="W17" s="36" t="s">
        <v>65</v>
      </c>
      <c r="X17" s="36" t="s">
        <v>58</v>
      </c>
      <c r="Y17" s="36" t="s">
        <v>58</v>
      </c>
      <c r="Z17" s="36" t="s">
        <v>59</v>
      </c>
      <c r="AA17" s="36" t="s">
        <v>75</v>
      </c>
      <c r="AB17" s="36" t="s">
        <v>59</v>
      </c>
      <c r="AC17" s="36" t="s">
        <v>56</v>
      </c>
      <c r="AD17" s="36" t="s">
        <v>56</v>
      </c>
      <c r="AE17" s="36" t="s">
        <v>58</v>
      </c>
      <c r="AF17" s="36" t="s">
        <v>58</v>
      </c>
      <c r="AG17" s="36" t="s">
        <v>61</v>
      </c>
      <c r="AH17" s="36" t="s">
        <v>75</v>
      </c>
      <c r="AI17" s="36" t="s">
        <v>59</v>
      </c>
      <c r="AJ17" s="36" t="s">
        <v>65</v>
      </c>
      <c r="AK17" s="36" t="s">
        <v>59</v>
      </c>
      <c r="AL17" s="37" t="s">
        <v>58</v>
      </c>
      <c r="AM17" s="2">
        <f t="shared" si="2"/>
        <v>17</v>
      </c>
      <c r="AN17" s="2">
        <f t="shared" si="3"/>
        <v>2</v>
      </c>
      <c r="AO17" s="2">
        <f t="shared" si="4"/>
        <v>9</v>
      </c>
      <c r="AP17" s="2">
        <f t="shared" si="5"/>
        <v>1</v>
      </c>
      <c r="AQ17" s="2">
        <f t="shared" si="6"/>
        <v>0</v>
      </c>
      <c r="AR17" s="2">
        <f t="shared" si="7"/>
        <v>2</v>
      </c>
      <c r="AS17" s="38">
        <f t="shared" si="8"/>
        <v>27</v>
      </c>
    </row>
    <row r="18" spans="1:45">
      <c r="A18" s="4">
        <v>13</v>
      </c>
      <c r="B18" s="4" t="s">
        <v>96</v>
      </c>
      <c r="C18" s="4" t="s">
        <v>97</v>
      </c>
      <c r="D18" s="4" t="s">
        <v>98</v>
      </c>
      <c r="E18" s="5" t="s">
        <v>53</v>
      </c>
      <c r="F18" s="4" t="s">
        <v>54</v>
      </c>
      <c r="G18" s="4" t="s">
        <v>69</v>
      </c>
      <c r="H18" s="36" t="s">
        <v>56</v>
      </c>
      <c r="I18" s="36" t="s">
        <v>56</v>
      </c>
      <c r="J18" s="36" t="s">
        <v>57</v>
      </c>
      <c r="K18" s="36" t="s">
        <v>58</v>
      </c>
      <c r="L18" s="36" t="s">
        <v>59</v>
      </c>
      <c r="M18" s="36" t="s">
        <v>59</v>
      </c>
      <c r="N18" s="36" t="s">
        <v>59</v>
      </c>
      <c r="O18" s="36" t="s">
        <v>59</v>
      </c>
      <c r="P18" s="36" t="s">
        <v>59</v>
      </c>
      <c r="Q18" s="36" t="s">
        <v>58</v>
      </c>
      <c r="R18" s="36" t="s">
        <v>58</v>
      </c>
      <c r="S18" s="36" t="s">
        <v>59</v>
      </c>
      <c r="T18" s="36" t="s">
        <v>59</v>
      </c>
      <c r="U18" s="36" t="s">
        <v>59</v>
      </c>
      <c r="V18" s="36" t="s">
        <v>59</v>
      </c>
      <c r="W18" s="36" t="s">
        <v>59</v>
      </c>
      <c r="X18" s="36" t="s">
        <v>58</v>
      </c>
      <c r="Y18" s="36" t="s">
        <v>58</v>
      </c>
      <c r="Z18" s="36" t="s">
        <v>65</v>
      </c>
      <c r="AA18" s="36" t="s">
        <v>59</v>
      </c>
      <c r="AB18" s="36" t="s">
        <v>59</v>
      </c>
      <c r="AC18" s="36" t="s">
        <v>59</v>
      </c>
      <c r="AD18" s="36" t="s">
        <v>59</v>
      </c>
      <c r="AE18" s="36" t="s">
        <v>58</v>
      </c>
      <c r="AF18" s="36" t="s">
        <v>58</v>
      </c>
      <c r="AG18" s="36" t="s">
        <v>61</v>
      </c>
      <c r="AH18" s="36" t="s">
        <v>59</v>
      </c>
      <c r="AI18" s="36" t="s">
        <v>59</v>
      </c>
      <c r="AJ18" s="36" t="s">
        <v>65</v>
      </c>
      <c r="AK18" s="36" t="s">
        <v>59</v>
      </c>
      <c r="AL18" s="37" t="s">
        <v>58</v>
      </c>
      <c r="AM18" s="2">
        <f t="shared" si="2"/>
        <v>19</v>
      </c>
      <c r="AN18" s="2">
        <f t="shared" si="3"/>
        <v>2</v>
      </c>
      <c r="AO18" s="2">
        <f t="shared" si="4"/>
        <v>9</v>
      </c>
      <c r="AP18" s="2">
        <f t="shared" si="5"/>
        <v>1</v>
      </c>
      <c r="AQ18" s="2">
        <f t="shared" si="6"/>
        <v>0</v>
      </c>
      <c r="AR18" s="2">
        <f t="shared" si="7"/>
        <v>0</v>
      </c>
      <c r="AS18" s="38">
        <f t="shared" si="8"/>
        <v>29</v>
      </c>
    </row>
    <row r="19" spans="1:45">
      <c r="A19" s="4">
        <v>14</v>
      </c>
      <c r="B19" s="4" t="s">
        <v>99</v>
      </c>
      <c r="C19" s="4" t="s">
        <v>100</v>
      </c>
      <c r="D19" s="4" t="s">
        <v>64</v>
      </c>
      <c r="E19" s="5" t="s">
        <v>53</v>
      </c>
      <c r="F19" s="4" t="s">
        <v>54</v>
      </c>
      <c r="G19" s="4" t="s">
        <v>55</v>
      </c>
      <c r="H19" s="36" t="s">
        <v>56</v>
      </c>
      <c r="I19" s="36" t="s">
        <v>56</v>
      </c>
      <c r="J19" s="36" t="s">
        <v>57</v>
      </c>
      <c r="K19" s="36" t="s">
        <v>58</v>
      </c>
      <c r="L19" s="36" t="s">
        <v>59</v>
      </c>
      <c r="M19" s="36" t="s">
        <v>59</v>
      </c>
      <c r="N19" s="36" t="s">
        <v>59</v>
      </c>
      <c r="O19" s="36" t="s">
        <v>59</v>
      </c>
      <c r="P19" s="36" t="s">
        <v>59</v>
      </c>
      <c r="Q19" s="36" t="s">
        <v>58</v>
      </c>
      <c r="R19" s="36" t="s">
        <v>58</v>
      </c>
      <c r="S19" s="36" t="s">
        <v>59</v>
      </c>
      <c r="T19" s="36" t="s">
        <v>59</v>
      </c>
      <c r="U19" s="36" t="s">
        <v>59</v>
      </c>
      <c r="V19" s="36" t="s">
        <v>59</v>
      </c>
      <c r="W19" s="36" t="s">
        <v>59</v>
      </c>
      <c r="X19" s="36" t="s">
        <v>58</v>
      </c>
      <c r="Y19" s="36" t="s">
        <v>58</v>
      </c>
      <c r="Z19" s="36" t="s">
        <v>59</v>
      </c>
      <c r="AA19" s="36" t="s">
        <v>59</v>
      </c>
      <c r="AB19" s="36" t="s">
        <v>59</v>
      </c>
      <c r="AC19" s="36" t="s">
        <v>59</v>
      </c>
      <c r="AD19" s="36" t="s">
        <v>59</v>
      </c>
      <c r="AE19" s="36" t="s">
        <v>58</v>
      </c>
      <c r="AF19" s="36" t="s">
        <v>58</v>
      </c>
      <c r="AG19" s="36" t="s">
        <v>61</v>
      </c>
      <c r="AH19" s="36" t="s">
        <v>59</v>
      </c>
      <c r="AI19" s="36" t="s">
        <v>59</v>
      </c>
      <c r="AJ19" s="36" t="s">
        <v>65</v>
      </c>
      <c r="AK19" s="36" t="s">
        <v>59</v>
      </c>
      <c r="AL19" s="37" t="s">
        <v>58</v>
      </c>
      <c r="AM19" s="2">
        <f t="shared" si="2"/>
        <v>20</v>
      </c>
      <c r="AN19" s="2">
        <f t="shared" si="3"/>
        <v>1</v>
      </c>
      <c r="AO19" s="2">
        <f t="shared" si="4"/>
        <v>9</v>
      </c>
      <c r="AP19" s="2">
        <f t="shared" si="5"/>
        <v>1</v>
      </c>
      <c r="AQ19" s="2">
        <f t="shared" si="6"/>
        <v>0</v>
      </c>
      <c r="AR19" s="2">
        <f t="shared" si="7"/>
        <v>0</v>
      </c>
      <c r="AS19" s="38">
        <f t="shared" si="8"/>
        <v>30</v>
      </c>
    </row>
    <row r="20" spans="1:45">
      <c r="A20" s="4">
        <v>15</v>
      </c>
      <c r="B20" s="4" t="s">
        <v>101</v>
      </c>
      <c r="C20" s="4" t="s">
        <v>102</v>
      </c>
      <c r="D20" s="4" t="s">
        <v>68</v>
      </c>
      <c r="E20" s="5" t="s">
        <v>53</v>
      </c>
      <c r="F20" s="4" t="s">
        <v>54</v>
      </c>
      <c r="G20" s="4" t="s">
        <v>69</v>
      </c>
      <c r="H20" s="36" t="s">
        <v>56</v>
      </c>
      <c r="I20" s="36" t="s">
        <v>56</v>
      </c>
      <c r="J20" s="36" t="s">
        <v>57</v>
      </c>
      <c r="K20" s="36" t="s">
        <v>58</v>
      </c>
      <c r="L20" s="36" t="s">
        <v>59</v>
      </c>
      <c r="M20" s="36" t="s">
        <v>59</v>
      </c>
      <c r="N20" s="36" t="s">
        <v>59</v>
      </c>
      <c r="O20" s="36" t="s">
        <v>59</v>
      </c>
      <c r="P20" s="36" t="s">
        <v>59</v>
      </c>
      <c r="Q20" s="36" t="s">
        <v>58</v>
      </c>
      <c r="R20" s="36" t="s">
        <v>58</v>
      </c>
      <c r="S20" s="36" t="s">
        <v>59</v>
      </c>
      <c r="T20" s="36" t="s">
        <v>59</v>
      </c>
      <c r="U20" s="36" t="s">
        <v>59</v>
      </c>
      <c r="V20" s="36" t="s">
        <v>59</v>
      </c>
      <c r="W20" s="36" t="s">
        <v>59</v>
      </c>
      <c r="X20" s="36" t="s">
        <v>58</v>
      </c>
      <c r="Y20" s="36" t="s">
        <v>58</v>
      </c>
      <c r="Z20" s="36" t="s">
        <v>59</v>
      </c>
      <c r="AA20" s="36" t="s">
        <v>59</v>
      </c>
      <c r="AB20" s="36" t="s">
        <v>75</v>
      </c>
      <c r="AC20" s="36" t="s">
        <v>75</v>
      </c>
      <c r="AD20" s="36" t="s">
        <v>75</v>
      </c>
      <c r="AE20" s="36" t="s">
        <v>58</v>
      </c>
      <c r="AF20" s="36" t="s">
        <v>58</v>
      </c>
      <c r="AG20" s="36" t="s">
        <v>61</v>
      </c>
      <c r="AH20" s="36" t="s">
        <v>75</v>
      </c>
      <c r="AI20" s="36" t="s">
        <v>75</v>
      </c>
      <c r="AJ20" s="36" t="s">
        <v>75</v>
      </c>
      <c r="AK20" s="36" t="s">
        <v>59</v>
      </c>
      <c r="AL20" s="37" t="s">
        <v>58</v>
      </c>
      <c r="AM20" s="2">
        <f t="shared" si="2"/>
        <v>15</v>
      </c>
      <c r="AN20" s="2">
        <f t="shared" si="3"/>
        <v>0</v>
      </c>
      <c r="AO20" s="2">
        <f t="shared" si="4"/>
        <v>9</v>
      </c>
      <c r="AP20" s="2">
        <f t="shared" si="5"/>
        <v>1</v>
      </c>
      <c r="AQ20" s="2">
        <f t="shared" si="6"/>
        <v>0</v>
      </c>
      <c r="AR20" s="2">
        <f t="shared" si="7"/>
        <v>6</v>
      </c>
      <c r="AS20" s="38">
        <f t="shared" si="8"/>
        <v>25</v>
      </c>
    </row>
    <row r="21" spans="1:45">
      <c r="A21" s="4">
        <v>16</v>
      </c>
      <c r="B21" s="4" t="s">
        <v>103</v>
      </c>
      <c r="C21" s="4" t="s">
        <v>104</v>
      </c>
      <c r="D21" s="4" t="s">
        <v>52</v>
      </c>
      <c r="E21" s="5" t="s">
        <v>53</v>
      </c>
      <c r="F21" s="4" t="s">
        <v>54</v>
      </c>
      <c r="G21" s="4" t="s">
        <v>69</v>
      </c>
      <c r="H21" s="36" t="s">
        <v>56</v>
      </c>
      <c r="I21" s="36" t="s">
        <v>56</v>
      </c>
      <c r="J21" s="36" t="s">
        <v>57</v>
      </c>
      <c r="K21" s="36" t="s">
        <v>58</v>
      </c>
      <c r="L21" s="36" t="s">
        <v>59</v>
      </c>
      <c r="M21" s="36" t="s">
        <v>59</v>
      </c>
      <c r="N21" s="36" t="s">
        <v>59</v>
      </c>
      <c r="O21" s="36" t="s">
        <v>59</v>
      </c>
      <c r="P21" s="36" t="s">
        <v>59</v>
      </c>
      <c r="Q21" s="36" t="s">
        <v>58</v>
      </c>
      <c r="R21" s="36" t="s">
        <v>58</v>
      </c>
      <c r="S21" s="36" t="s">
        <v>59</v>
      </c>
      <c r="T21" s="36" t="s">
        <v>60</v>
      </c>
      <c r="U21" s="36" t="s">
        <v>59</v>
      </c>
      <c r="V21" s="36" t="s">
        <v>75</v>
      </c>
      <c r="W21" s="36" t="s">
        <v>59</v>
      </c>
      <c r="X21" s="36" t="s">
        <v>58</v>
      </c>
      <c r="Y21" s="36" t="s">
        <v>58</v>
      </c>
      <c r="Z21" s="36" t="s">
        <v>59</v>
      </c>
      <c r="AA21" s="36" t="s">
        <v>59</v>
      </c>
      <c r="AB21" s="36" t="s">
        <v>59</v>
      </c>
      <c r="AC21" s="36" t="s">
        <v>59</v>
      </c>
      <c r="AD21" s="36" t="s">
        <v>59</v>
      </c>
      <c r="AE21" s="36" t="s">
        <v>58</v>
      </c>
      <c r="AF21" s="36" t="s">
        <v>58</v>
      </c>
      <c r="AG21" s="36" t="s">
        <v>61</v>
      </c>
      <c r="AH21" s="36" t="s">
        <v>59</v>
      </c>
      <c r="AI21" s="36" t="s">
        <v>59</v>
      </c>
      <c r="AJ21" s="36" t="s">
        <v>59</v>
      </c>
      <c r="AK21" s="36" t="s">
        <v>59</v>
      </c>
      <c r="AL21" s="37" t="s">
        <v>58</v>
      </c>
      <c r="AM21" s="2">
        <f t="shared" si="2"/>
        <v>19</v>
      </c>
      <c r="AN21" s="2">
        <f t="shared" si="3"/>
        <v>0</v>
      </c>
      <c r="AO21" s="2">
        <f t="shared" si="4"/>
        <v>9</v>
      </c>
      <c r="AP21" s="2">
        <f t="shared" si="5"/>
        <v>1</v>
      </c>
      <c r="AQ21" s="2">
        <f t="shared" si="6"/>
        <v>1</v>
      </c>
      <c r="AR21" s="2">
        <f t="shared" si="7"/>
        <v>1</v>
      </c>
      <c r="AS21" s="38">
        <f t="shared" si="8"/>
        <v>30</v>
      </c>
    </row>
    <row r="22" spans="1:45">
      <c r="A22" s="4">
        <v>17</v>
      </c>
      <c r="B22" s="4" t="s">
        <v>105</v>
      </c>
      <c r="C22" s="4" t="s">
        <v>106</v>
      </c>
      <c r="D22" s="4" t="s">
        <v>64</v>
      </c>
      <c r="E22" s="5" t="s">
        <v>53</v>
      </c>
      <c r="F22" s="4" t="s">
        <v>54</v>
      </c>
      <c r="G22" s="4" t="s">
        <v>69</v>
      </c>
      <c r="H22" s="36" t="s">
        <v>56</v>
      </c>
      <c r="I22" s="36" t="s">
        <v>56</v>
      </c>
      <c r="J22" s="36" t="s">
        <v>57</v>
      </c>
      <c r="K22" s="36" t="s">
        <v>58</v>
      </c>
      <c r="L22" s="36" t="s">
        <v>59</v>
      </c>
      <c r="M22" s="36" t="s">
        <v>59</v>
      </c>
      <c r="N22" s="36" t="s">
        <v>59</v>
      </c>
      <c r="O22" s="36" t="s">
        <v>59</v>
      </c>
      <c r="P22" s="36" t="s">
        <v>59</v>
      </c>
      <c r="Q22" s="36" t="s">
        <v>58</v>
      </c>
      <c r="R22" s="36" t="s">
        <v>58</v>
      </c>
      <c r="S22" s="36" t="s">
        <v>59</v>
      </c>
      <c r="T22" s="36" t="s">
        <v>59</v>
      </c>
      <c r="U22" s="36" t="s">
        <v>59</v>
      </c>
      <c r="V22" s="36" t="s">
        <v>59</v>
      </c>
      <c r="W22" s="36" t="s">
        <v>59</v>
      </c>
      <c r="X22" s="36" t="s">
        <v>58</v>
      </c>
      <c r="Y22" s="36" t="s">
        <v>58</v>
      </c>
      <c r="Z22" s="36" t="s">
        <v>65</v>
      </c>
      <c r="AA22" s="36" t="s">
        <v>59</v>
      </c>
      <c r="AB22" s="36" t="s">
        <v>59</v>
      </c>
      <c r="AC22" s="36" t="s">
        <v>59</v>
      </c>
      <c r="AD22" s="36" t="s">
        <v>59</v>
      </c>
      <c r="AE22" s="36" t="s">
        <v>58</v>
      </c>
      <c r="AF22" s="36" t="s">
        <v>58</v>
      </c>
      <c r="AG22" s="36" t="s">
        <v>61</v>
      </c>
      <c r="AH22" s="36" t="s">
        <v>59</v>
      </c>
      <c r="AI22" s="36" t="s">
        <v>59</v>
      </c>
      <c r="AJ22" s="36" t="s">
        <v>59</v>
      </c>
      <c r="AK22" s="36" t="s">
        <v>59</v>
      </c>
      <c r="AL22" s="37" t="s">
        <v>58</v>
      </c>
      <c r="AM22" s="2">
        <f t="shared" si="2"/>
        <v>20</v>
      </c>
      <c r="AN22" s="2">
        <f t="shared" si="3"/>
        <v>1</v>
      </c>
      <c r="AO22" s="2">
        <f t="shared" si="4"/>
        <v>9</v>
      </c>
      <c r="AP22" s="2">
        <f t="shared" si="5"/>
        <v>1</v>
      </c>
      <c r="AQ22" s="2">
        <f t="shared" si="6"/>
        <v>0</v>
      </c>
      <c r="AR22" s="2">
        <f t="shared" si="7"/>
        <v>0</v>
      </c>
      <c r="AS22" s="38">
        <f t="shared" si="8"/>
        <v>30</v>
      </c>
    </row>
    <row r="23" spans="1:45">
      <c r="A23" s="4">
        <v>18</v>
      </c>
      <c r="B23" s="4" t="s">
        <v>107</v>
      </c>
      <c r="C23" s="4" t="s">
        <v>108</v>
      </c>
      <c r="D23" s="4" t="s">
        <v>52</v>
      </c>
      <c r="E23" s="5" t="s">
        <v>53</v>
      </c>
      <c r="F23" s="4" t="s">
        <v>54</v>
      </c>
      <c r="G23" s="4" t="s">
        <v>69</v>
      </c>
      <c r="H23" s="36" t="s">
        <v>56</v>
      </c>
      <c r="I23" s="36" t="s">
        <v>56</v>
      </c>
      <c r="J23" s="36" t="s">
        <v>57</v>
      </c>
      <c r="K23" s="36" t="s">
        <v>58</v>
      </c>
      <c r="L23" s="36" t="s">
        <v>59</v>
      </c>
      <c r="M23" s="36" t="s">
        <v>59</v>
      </c>
      <c r="N23" s="36" t="s">
        <v>59</v>
      </c>
      <c r="O23" s="36" t="s">
        <v>59</v>
      </c>
      <c r="P23" s="36" t="s">
        <v>59</v>
      </c>
      <c r="Q23" s="36" t="s">
        <v>58</v>
      </c>
      <c r="R23" s="36" t="s">
        <v>58</v>
      </c>
      <c r="S23" s="36" t="s">
        <v>59</v>
      </c>
      <c r="T23" s="36" t="s">
        <v>59</v>
      </c>
      <c r="U23" s="36" t="s">
        <v>59</v>
      </c>
      <c r="V23" s="36" t="s">
        <v>59</v>
      </c>
      <c r="W23" s="36" t="s">
        <v>59</v>
      </c>
      <c r="X23" s="36" t="s">
        <v>58</v>
      </c>
      <c r="Y23" s="36" t="s">
        <v>58</v>
      </c>
      <c r="Z23" s="36" t="s">
        <v>59</v>
      </c>
      <c r="AA23" s="36" t="s">
        <v>59</v>
      </c>
      <c r="AB23" s="36" t="s">
        <v>59</v>
      </c>
      <c r="AC23" s="36" t="s">
        <v>60</v>
      </c>
      <c r="AD23" s="36" t="s">
        <v>59</v>
      </c>
      <c r="AE23" s="36" t="s">
        <v>58</v>
      </c>
      <c r="AF23" s="36" t="s">
        <v>58</v>
      </c>
      <c r="AG23" s="36" t="s">
        <v>61</v>
      </c>
      <c r="AH23" s="36" t="s">
        <v>59</v>
      </c>
      <c r="AI23" s="36" t="s">
        <v>59</v>
      </c>
      <c r="AJ23" s="36" t="s">
        <v>59</v>
      </c>
      <c r="AK23" s="36" t="s">
        <v>59</v>
      </c>
      <c r="AL23" s="37" t="s">
        <v>58</v>
      </c>
      <c r="AM23" s="2">
        <f t="shared" si="2"/>
        <v>20</v>
      </c>
      <c r="AN23" s="2">
        <f t="shared" si="3"/>
        <v>0</v>
      </c>
      <c r="AO23" s="2">
        <f t="shared" si="4"/>
        <v>9</v>
      </c>
      <c r="AP23" s="2">
        <f t="shared" si="5"/>
        <v>1</v>
      </c>
      <c r="AQ23" s="2">
        <f t="shared" si="6"/>
        <v>1</v>
      </c>
      <c r="AR23" s="2">
        <f t="shared" si="7"/>
        <v>0</v>
      </c>
      <c r="AS23" s="38">
        <f t="shared" si="8"/>
        <v>31</v>
      </c>
    </row>
    <row r="24" spans="1:45">
      <c r="A24" s="4">
        <v>19</v>
      </c>
      <c r="B24" s="4" t="s">
        <v>109</v>
      </c>
      <c r="C24" s="4" t="s">
        <v>110</v>
      </c>
      <c r="D24" s="4" t="s">
        <v>52</v>
      </c>
      <c r="E24" s="5" t="s">
        <v>53</v>
      </c>
      <c r="F24" s="4" t="s">
        <v>54</v>
      </c>
      <c r="G24" s="4" t="s">
        <v>69</v>
      </c>
      <c r="H24" s="36" t="s">
        <v>56</v>
      </c>
      <c r="I24" s="36" t="s">
        <v>56</v>
      </c>
      <c r="J24" s="36" t="s">
        <v>57</v>
      </c>
      <c r="K24" s="36" t="s">
        <v>58</v>
      </c>
      <c r="L24" s="36" t="s">
        <v>59</v>
      </c>
      <c r="M24" s="36" t="s">
        <v>59</v>
      </c>
      <c r="N24" s="36" t="s">
        <v>59</v>
      </c>
      <c r="O24" s="36" t="s">
        <v>59</v>
      </c>
      <c r="P24" s="36" t="s">
        <v>59</v>
      </c>
      <c r="Q24" s="36" t="s">
        <v>58</v>
      </c>
      <c r="R24" s="36" t="s">
        <v>58</v>
      </c>
      <c r="S24" s="36" t="s">
        <v>59</v>
      </c>
      <c r="T24" s="36" t="s">
        <v>59</v>
      </c>
      <c r="U24" s="36" t="s">
        <v>59</v>
      </c>
      <c r="V24" s="36" t="s">
        <v>59</v>
      </c>
      <c r="W24" s="36" t="s">
        <v>59</v>
      </c>
      <c r="X24" s="36" t="s">
        <v>58</v>
      </c>
      <c r="Y24" s="36" t="s">
        <v>58</v>
      </c>
      <c r="Z24" s="36" t="s">
        <v>59</v>
      </c>
      <c r="AA24" s="36" t="s">
        <v>59</v>
      </c>
      <c r="AB24" s="36" t="s">
        <v>59</v>
      </c>
      <c r="AC24" s="36" t="s">
        <v>59</v>
      </c>
      <c r="AD24" s="36" t="s">
        <v>59</v>
      </c>
      <c r="AE24" s="36" t="s">
        <v>58</v>
      </c>
      <c r="AF24" s="36" t="s">
        <v>58</v>
      </c>
      <c r="AG24" s="36" t="s">
        <v>61</v>
      </c>
      <c r="AH24" s="36" t="s">
        <v>59</v>
      </c>
      <c r="AI24" s="36" t="s">
        <v>59</v>
      </c>
      <c r="AJ24" s="36" t="s">
        <v>59</v>
      </c>
      <c r="AK24" s="36" t="s">
        <v>59</v>
      </c>
      <c r="AL24" s="37" t="s">
        <v>58</v>
      </c>
      <c r="AM24" s="2">
        <f t="shared" si="2"/>
        <v>21</v>
      </c>
      <c r="AN24" s="2">
        <f t="shared" si="3"/>
        <v>0</v>
      </c>
      <c r="AO24" s="2">
        <f t="shared" si="4"/>
        <v>9</v>
      </c>
      <c r="AP24" s="2">
        <f t="shared" si="5"/>
        <v>1</v>
      </c>
      <c r="AQ24" s="2">
        <f t="shared" si="6"/>
        <v>0</v>
      </c>
      <c r="AR24" s="2">
        <f t="shared" si="7"/>
        <v>0</v>
      </c>
      <c r="AS24" s="38">
        <f t="shared" si="8"/>
        <v>31</v>
      </c>
    </row>
    <row r="25" spans="1:45" s="25" customFormat="1">
      <c r="A25" s="4">
        <v>20</v>
      </c>
      <c r="B25" s="4" t="s">
        <v>111</v>
      </c>
      <c r="C25" s="4" t="s">
        <v>112</v>
      </c>
      <c r="D25" s="4" t="s">
        <v>68</v>
      </c>
      <c r="E25" s="5" t="s">
        <v>53</v>
      </c>
      <c r="F25" s="4" t="s">
        <v>54</v>
      </c>
      <c r="G25" s="4" t="s">
        <v>69</v>
      </c>
      <c r="H25" s="36" t="s">
        <v>56</v>
      </c>
      <c r="I25" s="36" t="s">
        <v>56</v>
      </c>
      <c r="J25" s="36" t="s">
        <v>57</v>
      </c>
      <c r="K25" s="36" t="s">
        <v>58</v>
      </c>
      <c r="L25" s="36" t="s">
        <v>59</v>
      </c>
      <c r="M25" s="36" t="s">
        <v>59</v>
      </c>
      <c r="N25" s="36" t="s">
        <v>59</v>
      </c>
      <c r="O25" s="36" t="s">
        <v>59</v>
      </c>
      <c r="P25" s="36" t="s">
        <v>59</v>
      </c>
      <c r="Q25" s="36" t="s">
        <v>58</v>
      </c>
      <c r="R25" s="36" t="s">
        <v>58</v>
      </c>
      <c r="S25" s="36" t="s">
        <v>59</v>
      </c>
      <c r="T25" s="36" t="s">
        <v>59</v>
      </c>
      <c r="U25" s="36" t="s">
        <v>59</v>
      </c>
      <c r="V25" s="36" t="s">
        <v>59</v>
      </c>
      <c r="W25" s="36" t="s">
        <v>59</v>
      </c>
      <c r="X25" s="36" t="s">
        <v>58</v>
      </c>
      <c r="Y25" s="36" t="s">
        <v>58</v>
      </c>
      <c r="Z25" s="36" t="s">
        <v>56</v>
      </c>
      <c r="AA25" s="36" t="s">
        <v>59</v>
      </c>
      <c r="AB25" s="36" t="s">
        <v>59</v>
      </c>
      <c r="AC25" s="36" t="s">
        <v>59</v>
      </c>
      <c r="AD25" s="36" t="s">
        <v>59</v>
      </c>
      <c r="AE25" s="36" t="s">
        <v>58</v>
      </c>
      <c r="AF25" s="36" t="s">
        <v>58</v>
      </c>
      <c r="AG25" s="36" t="s">
        <v>61</v>
      </c>
      <c r="AH25" s="36" t="s">
        <v>59</v>
      </c>
      <c r="AI25" s="36" t="s">
        <v>59</v>
      </c>
      <c r="AJ25" s="36" t="s">
        <v>59</v>
      </c>
      <c r="AK25" s="36" t="s">
        <v>59</v>
      </c>
      <c r="AL25" s="37" t="s">
        <v>58</v>
      </c>
      <c r="AM25" s="2">
        <f t="shared" si="2"/>
        <v>21</v>
      </c>
      <c r="AN25" s="2">
        <f t="shared" si="3"/>
        <v>0</v>
      </c>
      <c r="AO25" s="2">
        <f t="shared" si="4"/>
        <v>9</v>
      </c>
      <c r="AP25" s="2">
        <f t="shared" si="5"/>
        <v>1</v>
      </c>
      <c r="AQ25" s="2">
        <f t="shared" si="6"/>
        <v>0</v>
      </c>
      <c r="AR25" s="2">
        <f t="shared" si="7"/>
        <v>0</v>
      </c>
      <c r="AS25" s="38">
        <f t="shared" si="8"/>
        <v>31</v>
      </c>
    </row>
  </sheetData>
  <mergeCells count="17">
    <mergeCell ref="AR1:AR5"/>
    <mergeCell ref="AS1:AS5"/>
    <mergeCell ref="AM1:AM5"/>
    <mergeCell ref="AN1:AN5"/>
    <mergeCell ref="AO1:AO5"/>
    <mergeCell ref="AP1:AP5"/>
    <mergeCell ref="AQ1:AQ5"/>
    <mergeCell ref="A1:B1"/>
    <mergeCell ref="A2:B2"/>
    <mergeCell ref="A3:AL3"/>
    <mergeCell ref="A4:A5"/>
    <mergeCell ref="B4:B5"/>
    <mergeCell ref="C4:C5"/>
    <mergeCell ref="D4:D5"/>
    <mergeCell ref="E4:E5"/>
    <mergeCell ref="F4:F5"/>
    <mergeCell ref="G4:G5"/>
  </mergeCells>
  <conditionalFormatting sqref="H4:AL25">
    <cfRule type="expression" dxfId="2" priority="1">
      <formula>H$5="EOM"</formula>
    </cfRule>
    <cfRule type="expression" priority="2">
      <formula>H$5="EOM"</formula>
    </cfRule>
    <cfRule type="expression" dxfId="1" priority="3">
      <formula>H$5="Sun"</formula>
    </cfRule>
    <cfRule type="expression" dxfId="0" priority="4">
      <formula>H$5="Sat"</formula>
    </cfRule>
  </conditionalFormatting>
  <dataValidations count="2">
    <dataValidation type="list" allowBlank="1" showInputMessage="1" showErrorMessage="1" sqref="C1" xr:uid="{00000000-0002-0000-0100-000000000000}">
      <formula1>Month</formula1>
    </dataValidation>
    <dataValidation type="list" allowBlank="1" showInputMessage="1" showErrorMessage="1" sqref="D1" xr:uid="{00000000-0002-0000-0100-000001000000}">
      <formula1>Year</formula1>
    </dataValidation>
  </dataValidation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4"/>
  <sheetViews>
    <sheetView workbookViewId="0">
      <selection activeCell="J20" sqref="J20"/>
    </sheetView>
  </sheetViews>
  <sheetFormatPr defaultColWidth="9" defaultRowHeight="14.4"/>
  <cols>
    <col min="2" max="2" width="12.88671875" customWidth="1"/>
    <col min="3" max="3" width="14.88671875" customWidth="1"/>
    <col min="4" max="4" width="7.77734375" customWidth="1"/>
    <col min="5" max="5" width="8.77734375" customWidth="1"/>
    <col min="6" max="6" width="10.44140625" customWidth="1"/>
    <col min="7" max="7" width="9.44140625" customWidth="1"/>
  </cols>
  <sheetData>
    <row r="2" spans="1:7" ht="24.6">
      <c r="A2" s="60" t="s">
        <v>113</v>
      </c>
      <c r="B2" s="60"/>
      <c r="C2" s="60"/>
      <c r="D2" s="60"/>
      <c r="E2" s="60"/>
      <c r="F2" s="60"/>
      <c r="G2" s="60"/>
    </row>
    <row r="3" spans="1:7">
      <c r="A3" s="61" t="s">
        <v>43</v>
      </c>
      <c r="B3" s="62" t="s">
        <v>44</v>
      </c>
      <c r="C3" s="62" t="s">
        <v>45</v>
      </c>
      <c r="D3" s="63" t="s">
        <v>114</v>
      </c>
      <c r="E3" s="63" t="s">
        <v>115</v>
      </c>
      <c r="F3" s="63" t="s">
        <v>116</v>
      </c>
      <c r="G3" s="63" t="s">
        <v>117</v>
      </c>
    </row>
    <row r="4" spans="1:7">
      <c r="A4" s="61"/>
      <c r="B4" s="62"/>
      <c r="C4" s="62"/>
      <c r="D4" s="63"/>
      <c r="E4" s="63"/>
      <c r="F4" s="63"/>
      <c r="G4" s="63"/>
    </row>
    <row r="5" spans="1:7">
      <c r="A5" s="3">
        <v>1</v>
      </c>
      <c r="B5" s="4" t="s">
        <v>50</v>
      </c>
      <c r="C5" s="4" t="s">
        <v>51</v>
      </c>
      <c r="D5" s="22">
        <v>0.39583333333333298</v>
      </c>
      <c r="E5" s="22">
        <v>0.77083333333333304</v>
      </c>
      <c r="F5" s="23">
        <f>E5-D5</f>
        <v>0.375</v>
      </c>
      <c r="G5" s="24">
        <f>F5-TIME(8,0,0)</f>
        <v>4.1666666666666699E-2</v>
      </c>
    </row>
    <row r="6" spans="1:7">
      <c r="A6" s="4">
        <v>2</v>
      </c>
      <c r="B6" s="19" t="s">
        <v>62</v>
      </c>
      <c r="C6" s="19" t="s">
        <v>63</v>
      </c>
      <c r="D6" s="22">
        <v>0.39583333333333298</v>
      </c>
      <c r="E6" s="22">
        <v>0.8125</v>
      </c>
      <c r="F6" s="23">
        <f t="shared" ref="F6:F24" si="0">E6-D6</f>
        <v>0.41666666666666702</v>
      </c>
      <c r="G6" s="24">
        <f t="shared" ref="G6:G24" si="1">F6-TIME(8,0,0)</f>
        <v>8.3333333333333398E-2</v>
      </c>
    </row>
    <row r="7" spans="1:7">
      <c r="A7" s="4">
        <v>3</v>
      </c>
      <c r="B7" s="4" t="s">
        <v>66</v>
      </c>
      <c r="C7" s="4" t="s">
        <v>67</v>
      </c>
      <c r="D7" s="22">
        <v>0.39583333333333298</v>
      </c>
      <c r="E7" s="22">
        <v>0.85069444444444497</v>
      </c>
      <c r="F7" s="23">
        <f t="shared" si="0"/>
        <v>0.45486111111111199</v>
      </c>
      <c r="G7" s="24">
        <f t="shared" si="1"/>
        <v>0.121527777777778</v>
      </c>
    </row>
    <row r="8" spans="1:7">
      <c r="A8" s="4">
        <v>4</v>
      </c>
      <c r="B8" s="4" t="s">
        <v>70</v>
      </c>
      <c r="C8" s="4" t="s">
        <v>71</v>
      </c>
      <c r="D8" s="22">
        <v>0.39583333333333298</v>
      </c>
      <c r="E8" s="22">
        <v>0.8125</v>
      </c>
      <c r="F8" s="23">
        <f t="shared" si="0"/>
        <v>0.41666666666666702</v>
      </c>
      <c r="G8" s="24">
        <f t="shared" si="1"/>
        <v>8.3333333333333703E-2</v>
      </c>
    </row>
    <row r="9" spans="1:7">
      <c r="A9" s="4">
        <v>5</v>
      </c>
      <c r="B9" s="4" t="s">
        <v>72</v>
      </c>
      <c r="C9" s="4" t="s">
        <v>73</v>
      </c>
      <c r="D9" s="22">
        <v>0.39583333333333298</v>
      </c>
      <c r="E9" s="22">
        <v>0.875</v>
      </c>
      <c r="F9" s="23">
        <f t="shared" si="0"/>
        <v>0.47916666666666702</v>
      </c>
      <c r="G9" s="24">
        <f t="shared" si="1"/>
        <v>0.14583333333333401</v>
      </c>
    </row>
    <row r="10" spans="1:7">
      <c r="A10" s="4">
        <v>6</v>
      </c>
      <c r="B10" s="4" t="s">
        <v>76</v>
      </c>
      <c r="C10" s="4" t="s">
        <v>77</v>
      </c>
      <c r="D10" s="22">
        <v>0.39583333333333298</v>
      </c>
      <c r="E10" s="22">
        <v>0.85069444444444497</v>
      </c>
      <c r="F10" s="23">
        <f t="shared" si="0"/>
        <v>0.45486111111111199</v>
      </c>
      <c r="G10" s="24">
        <f t="shared" si="1"/>
        <v>0.121527777777778</v>
      </c>
    </row>
    <row r="11" spans="1:7">
      <c r="A11" s="4">
        <v>7</v>
      </c>
      <c r="B11" s="4" t="s">
        <v>79</v>
      </c>
      <c r="C11" s="4" t="s">
        <v>80</v>
      </c>
      <c r="D11" s="22">
        <v>0.39583333333333298</v>
      </c>
      <c r="E11" s="22">
        <v>0.8125</v>
      </c>
      <c r="F11" s="23">
        <f t="shared" si="0"/>
        <v>0.41666666666666702</v>
      </c>
      <c r="G11" s="24">
        <f t="shared" si="1"/>
        <v>8.3333333333333703E-2</v>
      </c>
    </row>
    <row r="12" spans="1:7">
      <c r="A12" s="4">
        <v>8</v>
      </c>
      <c r="B12" s="4" t="s">
        <v>82</v>
      </c>
      <c r="C12" s="4" t="s">
        <v>83</v>
      </c>
      <c r="D12" s="22">
        <v>0.39583333333333298</v>
      </c>
      <c r="E12" s="22">
        <v>0.875</v>
      </c>
      <c r="F12" s="23">
        <f t="shared" si="0"/>
        <v>0.47916666666666702</v>
      </c>
      <c r="G12" s="24">
        <f t="shared" si="1"/>
        <v>0.14583333333333401</v>
      </c>
    </row>
    <row r="13" spans="1:7">
      <c r="A13" s="4">
        <v>9</v>
      </c>
      <c r="B13" s="4" t="s">
        <v>85</v>
      </c>
      <c r="C13" s="4" t="s">
        <v>86</v>
      </c>
      <c r="D13" s="22">
        <v>0.39583333333333298</v>
      </c>
      <c r="E13" s="22">
        <v>0.85069444444444497</v>
      </c>
      <c r="F13" s="23">
        <f t="shared" si="0"/>
        <v>0.45486111111111199</v>
      </c>
      <c r="G13" s="24">
        <f t="shared" si="1"/>
        <v>0.121527777777778</v>
      </c>
    </row>
    <row r="14" spans="1:7">
      <c r="A14" s="4">
        <v>10</v>
      </c>
      <c r="B14" s="4" t="s">
        <v>87</v>
      </c>
      <c r="C14" s="4" t="s">
        <v>88</v>
      </c>
      <c r="D14" s="22">
        <v>0.39583333333333298</v>
      </c>
      <c r="E14" s="22">
        <v>0.77083333333333304</v>
      </c>
      <c r="F14" s="23">
        <f t="shared" si="0"/>
        <v>0.375</v>
      </c>
      <c r="G14" s="24">
        <f t="shared" si="1"/>
        <v>4.1666666666667102E-2</v>
      </c>
    </row>
    <row r="15" spans="1:7">
      <c r="A15" s="4">
        <v>11</v>
      </c>
      <c r="B15" s="4" t="s">
        <v>90</v>
      </c>
      <c r="C15" s="4" t="s">
        <v>91</v>
      </c>
      <c r="D15" s="22">
        <v>0.39583333333333298</v>
      </c>
      <c r="E15" s="22">
        <v>0.77083333333333304</v>
      </c>
      <c r="F15" s="23">
        <f t="shared" si="0"/>
        <v>0.375</v>
      </c>
      <c r="G15" s="24">
        <f t="shared" si="1"/>
        <v>4.1666666666667102E-2</v>
      </c>
    </row>
    <row r="16" spans="1:7">
      <c r="A16" s="4">
        <v>12</v>
      </c>
      <c r="B16" s="4" t="s">
        <v>93</v>
      </c>
      <c r="C16" s="4" t="s">
        <v>94</v>
      </c>
      <c r="D16" s="22">
        <v>0.39583333333333298</v>
      </c>
      <c r="E16" s="22">
        <v>0.77083333333333304</v>
      </c>
      <c r="F16" s="23">
        <f t="shared" si="0"/>
        <v>0.375</v>
      </c>
      <c r="G16" s="24">
        <f t="shared" si="1"/>
        <v>4.1666666666667102E-2</v>
      </c>
    </row>
    <row r="17" spans="1:7">
      <c r="A17" s="4">
        <v>13</v>
      </c>
      <c r="B17" s="4" t="s">
        <v>96</v>
      </c>
      <c r="C17" s="4" t="s">
        <v>97</v>
      </c>
      <c r="D17" s="22">
        <v>0.39583333333333298</v>
      </c>
      <c r="E17" s="22">
        <v>0.8125</v>
      </c>
      <c r="F17" s="23">
        <f t="shared" si="0"/>
        <v>0.41666666666666702</v>
      </c>
      <c r="G17" s="24">
        <f t="shared" si="1"/>
        <v>8.3333333333333703E-2</v>
      </c>
    </row>
    <row r="18" spans="1:7">
      <c r="A18" s="4">
        <v>14</v>
      </c>
      <c r="B18" s="4" t="s">
        <v>99</v>
      </c>
      <c r="C18" s="4" t="s">
        <v>100</v>
      </c>
      <c r="D18" s="22">
        <v>0.39583333333333298</v>
      </c>
      <c r="E18" s="22">
        <v>0.85416666666666696</v>
      </c>
      <c r="F18" s="23">
        <f t="shared" si="0"/>
        <v>0.45833333333333398</v>
      </c>
      <c r="G18" s="24">
        <f t="shared" si="1"/>
        <v>0.125000000000001</v>
      </c>
    </row>
    <row r="19" spans="1:7">
      <c r="A19" s="4">
        <v>15</v>
      </c>
      <c r="B19" s="4" t="s">
        <v>101</v>
      </c>
      <c r="C19" s="4" t="s">
        <v>102</v>
      </c>
      <c r="D19" s="22">
        <v>0.39583333333333298</v>
      </c>
      <c r="E19" s="22">
        <v>0.89583333333333304</v>
      </c>
      <c r="F19" s="23">
        <f t="shared" si="0"/>
        <v>0.5</v>
      </c>
      <c r="G19" s="24">
        <f t="shared" si="1"/>
        <v>0.16666666666666699</v>
      </c>
    </row>
    <row r="20" spans="1:7">
      <c r="A20" s="4">
        <v>16</v>
      </c>
      <c r="B20" s="4" t="s">
        <v>103</v>
      </c>
      <c r="C20" s="4" t="s">
        <v>104</v>
      </c>
      <c r="D20" s="22">
        <v>0.39583333333333298</v>
      </c>
      <c r="E20" s="22">
        <v>0.85416666666666696</v>
      </c>
      <c r="F20" s="23">
        <f t="shared" si="0"/>
        <v>0.45833333333333398</v>
      </c>
      <c r="G20" s="24">
        <f t="shared" si="1"/>
        <v>0.125000000000001</v>
      </c>
    </row>
    <row r="21" spans="1:7">
      <c r="A21" s="4">
        <v>17</v>
      </c>
      <c r="B21" s="4" t="s">
        <v>105</v>
      </c>
      <c r="C21" s="4" t="s">
        <v>106</v>
      </c>
      <c r="D21" s="22">
        <v>0.39583333333333298</v>
      </c>
      <c r="E21" s="22">
        <v>0.85416666666666696</v>
      </c>
      <c r="F21" s="23">
        <f t="shared" si="0"/>
        <v>0.45833333333333398</v>
      </c>
      <c r="G21" s="24">
        <f t="shared" si="1"/>
        <v>0.125000000000001</v>
      </c>
    </row>
    <row r="22" spans="1:7">
      <c r="A22" s="4">
        <v>18</v>
      </c>
      <c r="B22" s="4" t="s">
        <v>107</v>
      </c>
      <c r="C22" s="4" t="s">
        <v>108</v>
      </c>
      <c r="D22" s="22">
        <v>0.39583333333333298</v>
      </c>
      <c r="E22" s="22">
        <v>0.85416666666666696</v>
      </c>
      <c r="F22" s="23">
        <f t="shared" si="0"/>
        <v>0.45833333333333398</v>
      </c>
      <c r="G22" s="24">
        <f t="shared" si="1"/>
        <v>0.125000000000001</v>
      </c>
    </row>
    <row r="23" spans="1:7">
      <c r="A23" s="4">
        <v>19</v>
      </c>
      <c r="B23" s="4" t="s">
        <v>109</v>
      </c>
      <c r="C23" s="4" t="s">
        <v>110</v>
      </c>
      <c r="D23" s="22">
        <v>0.39583333333333298</v>
      </c>
      <c r="E23" s="22">
        <v>0.85416666666666696</v>
      </c>
      <c r="F23" s="23">
        <f t="shared" si="0"/>
        <v>0.45833333333333398</v>
      </c>
      <c r="G23" s="24">
        <f t="shared" si="1"/>
        <v>0.125000000000001</v>
      </c>
    </row>
    <row r="24" spans="1:7">
      <c r="A24" s="4">
        <v>20</v>
      </c>
      <c r="B24" s="4" t="s">
        <v>111</v>
      </c>
      <c r="C24" s="4" t="s">
        <v>112</v>
      </c>
      <c r="D24" s="22">
        <v>0.39583333333333298</v>
      </c>
      <c r="E24" s="22">
        <v>0.85416666666666696</v>
      </c>
      <c r="F24" s="23">
        <f t="shared" si="0"/>
        <v>0.45833333333333398</v>
      </c>
      <c r="G24" s="24">
        <f t="shared" si="1"/>
        <v>0.125000000000001</v>
      </c>
    </row>
  </sheetData>
  <mergeCells count="8">
    <mergeCell ref="A2:G2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6"/>
  <sheetViews>
    <sheetView tabSelected="1" topLeftCell="O3" workbookViewId="0">
      <selection activeCell="AD20" sqref="AD20"/>
    </sheetView>
  </sheetViews>
  <sheetFormatPr defaultColWidth="9" defaultRowHeight="14.4"/>
  <cols>
    <col min="1" max="1" width="5.6640625" customWidth="1"/>
    <col min="2" max="2" width="12.88671875" customWidth="1"/>
    <col min="3" max="3" width="14.88671875" customWidth="1"/>
    <col min="4" max="5" width="14.77734375" customWidth="1"/>
    <col min="6" max="6" width="11.6640625" customWidth="1"/>
    <col min="7" max="7" width="15.6640625" customWidth="1"/>
    <col min="8" max="8" width="11.21875" customWidth="1"/>
    <col min="9" max="9" width="12" customWidth="1"/>
    <col min="10" max="10" width="12.109375" customWidth="1"/>
    <col min="11" max="11" width="16.21875" customWidth="1"/>
    <col min="12" max="12" width="11.44140625" customWidth="1"/>
    <col min="13" max="13" width="18.5546875" customWidth="1"/>
    <col min="14" max="15" width="15" customWidth="1"/>
    <col min="16" max="16" width="10.21875" customWidth="1"/>
    <col min="18" max="18" width="18.109375" customWidth="1"/>
    <col min="20" max="20" width="11.5546875" customWidth="1"/>
    <col min="21" max="21" width="15.6640625" customWidth="1"/>
    <col min="22" max="22" width="15.6640625" style="1" customWidth="1"/>
    <col min="23" max="23" width="11.109375" style="1" customWidth="1"/>
    <col min="27" max="28" width="14.44140625" customWidth="1"/>
    <col min="30" max="30" width="20" customWidth="1"/>
  </cols>
  <sheetData>
    <row r="1" spans="1:30" ht="15.6">
      <c r="A1" s="64" t="s">
        <v>118</v>
      </c>
      <c r="B1" s="65"/>
      <c r="C1" s="66" t="s">
        <v>119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</row>
    <row r="2" spans="1:30" ht="15.6">
      <c r="A2" s="64" t="s">
        <v>120</v>
      </c>
      <c r="B2" s="65"/>
      <c r="C2" s="66" t="s">
        <v>121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8"/>
    </row>
    <row r="3" spans="1:30" ht="33.6">
      <c r="A3" s="69" t="s">
        <v>122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</row>
    <row r="4" spans="1:30" ht="15.6">
      <c r="A4" s="72" t="s">
        <v>123</v>
      </c>
      <c r="B4" s="73"/>
      <c r="C4" s="73"/>
      <c r="D4" s="73"/>
      <c r="E4" s="73"/>
      <c r="F4" s="73"/>
      <c r="G4" s="74"/>
      <c r="H4" s="75" t="s">
        <v>124</v>
      </c>
      <c r="I4" s="76"/>
      <c r="J4" s="77"/>
      <c r="K4" s="78" t="s">
        <v>125</v>
      </c>
      <c r="L4" s="79"/>
      <c r="M4" s="80"/>
      <c r="N4" s="81" t="s">
        <v>126</v>
      </c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3"/>
    </row>
    <row r="5" spans="1:30" ht="14.4" customHeight="1">
      <c r="A5" s="84" t="s">
        <v>43</v>
      </c>
      <c r="B5" s="84" t="s">
        <v>44</v>
      </c>
      <c r="C5" s="84" t="s">
        <v>45</v>
      </c>
      <c r="D5" s="86" t="s">
        <v>46</v>
      </c>
      <c r="E5" s="86" t="s">
        <v>49</v>
      </c>
      <c r="F5" s="86" t="s">
        <v>127</v>
      </c>
      <c r="G5" s="86" t="s">
        <v>128</v>
      </c>
      <c r="H5" s="88" t="s">
        <v>129</v>
      </c>
      <c r="I5" s="90" t="s">
        <v>130</v>
      </c>
      <c r="J5" s="90" t="s">
        <v>131</v>
      </c>
      <c r="K5" s="92" t="s">
        <v>132</v>
      </c>
      <c r="L5" s="92" t="s">
        <v>133</v>
      </c>
      <c r="M5" s="92" t="s">
        <v>134</v>
      </c>
      <c r="N5" s="94" t="s">
        <v>135</v>
      </c>
      <c r="O5" s="96" t="s">
        <v>136</v>
      </c>
      <c r="P5" s="96" t="s">
        <v>137</v>
      </c>
      <c r="Q5" s="96" t="s">
        <v>138</v>
      </c>
      <c r="R5" s="96" t="s">
        <v>139</v>
      </c>
      <c r="S5" s="98" t="s">
        <v>140</v>
      </c>
      <c r="T5" s="98" t="s">
        <v>141</v>
      </c>
      <c r="U5" s="98" t="s">
        <v>142</v>
      </c>
      <c r="V5" s="100" t="s">
        <v>143</v>
      </c>
      <c r="W5" s="98" t="s">
        <v>144</v>
      </c>
      <c r="X5" s="98" t="s">
        <v>145</v>
      </c>
      <c r="Y5" s="98" t="s">
        <v>146</v>
      </c>
      <c r="Z5" s="98" t="s">
        <v>147</v>
      </c>
      <c r="AA5" s="98" t="s">
        <v>148</v>
      </c>
      <c r="AB5" s="100" t="s">
        <v>149</v>
      </c>
      <c r="AD5" s="102" t="s">
        <v>150</v>
      </c>
    </row>
    <row r="6" spans="1:30">
      <c r="A6" s="85"/>
      <c r="B6" s="85"/>
      <c r="C6" s="85"/>
      <c r="D6" s="87"/>
      <c r="E6" s="87"/>
      <c r="F6" s="87"/>
      <c r="G6" s="87"/>
      <c r="H6" s="89"/>
      <c r="I6" s="91"/>
      <c r="J6" s="91"/>
      <c r="K6" s="93"/>
      <c r="L6" s="93"/>
      <c r="M6" s="93"/>
      <c r="N6" s="95"/>
      <c r="O6" s="97"/>
      <c r="P6" s="97"/>
      <c r="Q6" s="97"/>
      <c r="R6" s="97"/>
      <c r="S6" s="99"/>
      <c r="T6" s="99"/>
      <c r="U6" s="99"/>
      <c r="V6" s="101"/>
      <c r="W6" s="99"/>
      <c r="X6" s="99"/>
      <c r="Y6" s="99"/>
      <c r="Z6" s="99"/>
      <c r="AA6" s="99"/>
      <c r="AB6" s="101"/>
      <c r="AD6" s="102"/>
    </row>
    <row r="7" spans="1:30">
      <c r="A7" s="3">
        <v>1</v>
      </c>
      <c r="B7" s="4" t="s">
        <v>50</v>
      </c>
      <c r="C7" s="4" t="s">
        <v>51</v>
      </c>
      <c r="D7" s="4" t="s">
        <v>52</v>
      </c>
      <c r="E7" s="5" t="s">
        <v>55</v>
      </c>
      <c r="F7" s="6">
        <v>45668</v>
      </c>
      <c r="G7" s="7" t="s">
        <v>53</v>
      </c>
      <c r="H7" s="5">
        <v>4455667722</v>
      </c>
      <c r="I7" s="5" t="s">
        <v>151</v>
      </c>
      <c r="J7" s="4">
        <v>1.2345678945464601E+19</v>
      </c>
      <c r="K7" s="4">
        <v>12345678910</v>
      </c>
      <c r="L7" s="8" t="s">
        <v>152</v>
      </c>
      <c r="M7" s="9" t="s">
        <v>153</v>
      </c>
      <c r="N7" s="4">
        <v>31</v>
      </c>
      <c r="O7" s="4">
        <v>0</v>
      </c>
      <c r="P7" s="10">
        <v>28</v>
      </c>
      <c r="Q7" s="11">
        <v>50000</v>
      </c>
      <c r="R7" s="12">
        <f t="shared" ref="R7:R26" si="0">Q7/N7*P7</f>
        <v>45161.290322580702</v>
      </c>
      <c r="S7" s="13">
        <f t="shared" ref="S7:S26" si="1">Q7*12%</f>
        <v>6000</v>
      </c>
      <c r="T7" s="14">
        <f t="shared" ref="T7:T26" si="2">(Q7+S7)*35%</f>
        <v>19600</v>
      </c>
      <c r="U7" s="15">
        <v>0</v>
      </c>
      <c r="V7" s="16">
        <f t="shared" ref="V7:V26" si="3">Q7+S7+T7+U7</f>
        <v>75600</v>
      </c>
      <c r="W7" s="17">
        <f>IF((Q7+S7)&lt;=15000,(Q7+S7)*12%,1800)</f>
        <v>1800</v>
      </c>
      <c r="X7" s="17">
        <f>IF(V7&lt;=21000,V7*0.75%,0)</f>
        <v>0</v>
      </c>
      <c r="Y7" s="15">
        <v>0</v>
      </c>
      <c r="Z7" s="15">
        <v>200</v>
      </c>
      <c r="AA7" s="17">
        <f>SUM(W7:Z7)</f>
        <v>2000</v>
      </c>
      <c r="AB7" s="16">
        <f>V7-AA7</f>
        <v>73600</v>
      </c>
      <c r="AD7" s="18"/>
    </row>
    <row r="8" spans="1:30">
      <c r="A8" s="4">
        <v>2</v>
      </c>
      <c r="B8" s="19" t="s">
        <v>62</v>
      </c>
      <c r="C8" s="19" t="s">
        <v>63</v>
      </c>
      <c r="D8" s="19" t="s">
        <v>64</v>
      </c>
      <c r="E8" s="19" t="s">
        <v>55</v>
      </c>
      <c r="F8" s="6">
        <v>45669</v>
      </c>
      <c r="G8" s="7" t="s">
        <v>53</v>
      </c>
      <c r="H8" s="5">
        <v>4455667722</v>
      </c>
      <c r="I8" s="5" t="s">
        <v>151</v>
      </c>
      <c r="J8" s="4">
        <v>1.2345678945464601E+19</v>
      </c>
      <c r="K8" s="4">
        <v>12345678910</v>
      </c>
      <c r="L8" s="8" t="s">
        <v>154</v>
      </c>
      <c r="M8" s="9" t="s">
        <v>153</v>
      </c>
      <c r="N8" s="19">
        <v>31</v>
      </c>
      <c r="O8" s="19">
        <v>0</v>
      </c>
      <c r="P8" s="20">
        <v>30</v>
      </c>
      <c r="Q8" s="21">
        <v>9000</v>
      </c>
      <c r="R8" s="12">
        <f t="shared" si="0"/>
        <v>8709.6774193548408</v>
      </c>
      <c r="S8" s="13">
        <f t="shared" si="1"/>
        <v>1080</v>
      </c>
      <c r="T8" s="14">
        <f t="shared" si="2"/>
        <v>3528</v>
      </c>
      <c r="U8" s="15">
        <v>0</v>
      </c>
      <c r="V8" s="16">
        <f t="shared" si="3"/>
        <v>13608</v>
      </c>
      <c r="W8" s="17">
        <f t="shared" ref="W8:W26" si="4">IF((Q8+S8)&lt;=15000,(Q8+S8)*12%,1800)</f>
        <v>1209.5999999999999</v>
      </c>
      <c r="X8" s="17">
        <f t="shared" ref="X8:X26" si="5">IF(V8&lt;=21000,V8*0.75%,0)</f>
        <v>102.06</v>
      </c>
      <c r="Y8" s="15">
        <v>0</v>
      </c>
      <c r="Z8" s="15">
        <v>200</v>
      </c>
      <c r="AA8" s="17">
        <f t="shared" ref="AA8:AA26" si="6">SUM(W8:Z8)</f>
        <v>1511.66</v>
      </c>
      <c r="AB8" s="16">
        <f t="shared" ref="AB8:AB26" si="7">V8-AA8</f>
        <v>12096.34</v>
      </c>
      <c r="AD8" s="18"/>
    </row>
    <row r="9" spans="1:30">
      <c r="A9" s="4">
        <v>3</v>
      </c>
      <c r="B9" s="4" t="s">
        <v>66</v>
      </c>
      <c r="C9" s="4" t="s">
        <v>67</v>
      </c>
      <c r="D9" s="4" t="s">
        <v>68</v>
      </c>
      <c r="E9" s="4" t="s">
        <v>69</v>
      </c>
      <c r="F9" s="6">
        <v>45670</v>
      </c>
      <c r="G9" s="7" t="s">
        <v>53</v>
      </c>
      <c r="H9" s="5">
        <v>4455667722</v>
      </c>
      <c r="I9" s="5" t="s">
        <v>151</v>
      </c>
      <c r="J9" s="4">
        <v>1.2345678945464601E+19</v>
      </c>
      <c r="K9" s="4">
        <v>12345678910</v>
      </c>
      <c r="L9" s="8" t="s">
        <v>155</v>
      </c>
      <c r="M9" s="9" t="s">
        <v>153</v>
      </c>
      <c r="N9" s="4">
        <v>31</v>
      </c>
      <c r="O9" s="4">
        <v>0</v>
      </c>
      <c r="P9" s="10">
        <v>30</v>
      </c>
      <c r="Q9" s="11">
        <v>10800</v>
      </c>
      <c r="R9" s="12">
        <f t="shared" si="0"/>
        <v>10451.6129032258</v>
      </c>
      <c r="S9" s="13">
        <f t="shared" si="1"/>
        <v>1296</v>
      </c>
      <c r="T9" s="14">
        <f t="shared" si="2"/>
        <v>4233.6000000000004</v>
      </c>
      <c r="U9" s="15">
        <v>0</v>
      </c>
      <c r="V9" s="16">
        <f t="shared" si="3"/>
        <v>16329.6</v>
      </c>
      <c r="W9" s="17">
        <f t="shared" si="4"/>
        <v>1451.52</v>
      </c>
      <c r="X9" s="17">
        <f t="shared" si="5"/>
        <v>122.47199999999999</v>
      </c>
      <c r="Y9" s="15">
        <v>0</v>
      </c>
      <c r="Z9" s="15">
        <v>200</v>
      </c>
      <c r="AA9" s="17">
        <f t="shared" si="6"/>
        <v>1773.992</v>
      </c>
      <c r="AB9" s="16">
        <f t="shared" si="7"/>
        <v>14555.608</v>
      </c>
      <c r="AD9" s="18"/>
    </row>
    <row r="10" spans="1:30">
      <c r="A10" s="4">
        <v>4</v>
      </c>
      <c r="B10" s="4" t="s">
        <v>70</v>
      </c>
      <c r="C10" s="4" t="s">
        <v>71</v>
      </c>
      <c r="D10" s="4" t="s">
        <v>64</v>
      </c>
      <c r="E10" s="4" t="s">
        <v>55</v>
      </c>
      <c r="F10" s="6">
        <v>45671</v>
      </c>
      <c r="G10" s="7" t="s">
        <v>53</v>
      </c>
      <c r="H10" s="5">
        <v>4455667722</v>
      </c>
      <c r="I10" s="5" t="s">
        <v>151</v>
      </c>
      <c r="J10" s="4">
        <v>1.2345678945464601E+19</v>
      </c>
      <c r="K10" s="4">
        <v>12345678910</v>
      </c>
      <c r="L10" s="8" t="s">
        <v>156</v>
      </c>
      <c r="M10" s="9" t="s">
        <v>157</v>
      </c>
      <c r="N10" s="4">
        <v>31</v>
      </c>
      <c r="O10" s="4">
        <v>0</v>
      </c>
      <c r="P10" s="10">
        <v>31</v>
      </c>
      <c r="Q10" s="11">
        <v>8700</v>
      </c>
      <c r="R10" s="12">
        <f t="shared" si="0"/>
        <v>8700</v>
      </c>
      <c r="S10" s="13">
        <f t="shared" si="1"/>
        <v>1044</v>
      </c>
      <c r="T10" s="14">
        <f t="shared" si="2"/>
        <v>3410.4</v>
      </c>
      <c r="U10" s="15">
        <v>0</v>
      </c>
      <c r="V10" s="16">
        <f t="shared" si="3"/>
        <v>13154.4</v>
      </c>
      <c r="W10" s="17">
        <f t="shared" si="4"/>
        <v>1169.28</v>
      </c>
      <c r="X10" s="17">
        <f t="shared" si="5"/>
        <v>98.658000000000001</v>
      </c>
      <c r="Y10" s="15">
        <v>0</v>
      </c>
      <c r="Z10" s="15">
        <v>200</v>
      </c>
      <c r="AA10" s="17">
        <f t="shared" si="6"/>
        <v>1467.9380000000001</v>
      </c>
      <c r="AB10" s="16">
        <f t="shared" si="7"/>
        <v>11686.462</v>
      </c>
      <c r="AD10" s="18"/>
    </row>
    <row r="11" spans="1:30">
      <c r="A11" s="4">
        <v>5</v>
      </c>
      <c r="B11" s="4" t="s">
        <v>72</v>
      </c>
      <c r="C11" s="4" t="s">
        <v>73</v>
      </c>
      <c r="D11" s="4" t="s">
        <v>74</v>
      </c>
      <c r="E11" s="4" t="s">
        <v>55</v>
      </c>
      <c r="F11" s="6">
        <v>45672</v>
      </c>
      <c r="G11" s="7" t="s">
        <v>53</v>
      </c>
      <c r="H11" s="5">
        <v>4455667722</v>
      </c>
      <c r="I11" s="5" t="s">
        <v>151</v>
      </c>
      <c r="J11" s="4">
        <v>1.2345678945464601E+19</v>
      </c>
      <c r="K11" s="4">
        <v>12345678910</v>
      </c>
      <c r="L11" s="8" t="s">
        <v>158</v>
      </c>
      <c r="M11" s="9" t="s">
        <v>153</v>
      </c>
      <c r="N11" s="4">
        <v>31</v>
      </c>
      <c r="O11" s="4">
        <v>1</v>
      </c>
      <c r="P11" s="10">
        <v>29</v>
      </c>
      <c r="Q11" s="11">
        <v>9120</v>
      </c>
      <c r="R11" s="12">
        <f t="shared" si="0"/>
        <v>8531.6129032258104</v>
      </c>
      <c r="S11" s="13">
        <f t="shared" si="1"/>
        <v>1094.4000000000001</v>
      </c>
      <c r="T11" s="14">
        <f t="shared" si="2"/>
        <v>3575.04</v>
      </c>
      <c r="U11" s="15">
        <v>0</v>
      </c>
      <c r="V11" s="16">
        <f t="shared" si="3"/>
        <v>13789.44</v>
      </c>
      <c r="W11" s="17">
        <f t="shared" si="4"/>
        <v>1225.7280000000001</v>
      </c>
      <c r="X11" s="17">
        <f t="shared" si="5"/>
        <v>103.4208</v>
      </c>
      <c r="Y11" s="15">
        <v>0</v>
      </c>
      <c r="Z11" s="15">
        <v>200</v>
      </c>
      <c r="AA11" s="17">
        <f t="shared" si="6"/>
        <v>1529.1487999999999</v>
      </c>
      <c r="AB11" s="16">
        <f t="shared" si="7"/>
        <v>12260.2912</v>
      </c>
      <c r="AD11" s="18"/>
    </row>
    <row r="12" spans="1:30">
      <c r="A12" s="4">
        <v>6</v>
      </c>
      <c r="B12" s="4" t="s">
        <v>76</v>
      </c>
      <c r="C12" s="4" t="s">
        <v>77</v>
      </c>
      <c r="D12" s="4" t="s">
        <v>52</v>
      </c>
      <c r="E12" s="4" t="s">
        <v>69</v>
      </c>
      <c r="F12" s="6">
        <v>45673</v>
      </c>
      <c r="G12" s="7" t="s">
        <v>53</v>
      </c>
      <c r="H12" s="5">
        <v>4455667722</v>
      </c>
      <c r="I12" s="5" t="s">
        <v>151</v>
      </c>
      <c r="J12" s="4">
        <v>1.2345678945464601E+19</v>
      </c>
      <c r="K12" s="4">
        <v>12345678910</v>
      </c>
      <c r="L12" s="8" t="s">
        <v>159</v>
      </c>
      <c r="M12" s="9" t="s">
        <v>153</v>
      </c>
      <c r="N12" s="4">
        <v>31</v>
      </c>
      <c r="O12" s="4">
        <v>1</v>
      </c>
      <c r="P12" s="10">
        <v>30</v>
      </c>
      <c r="Q12" s="11">
        <v>10800</v>
      </c>
      <c r="R12" s="12">
        <f t="shared" si="0"/>
        <v>10451.6129032258</v>
      </c>
      <c r="S12" s="13">
        <f t="shared" si="1"/>
        <v>1296</v>
      </c>
      <c r="T12" s="14">
        <f t="shared" si="2"/>
        <v>4233.6000000000004</v>
      </c>
      <c r="U12" s="15">
        <v>0</v>
      </c>
      <c r="V12" s="16">
        <f t="shared" si="3"/>
        <v>16329.6</v>
      </c>
      <c r="W12" s="17">
        <f t="shared" si="4"/>
        <v>1451.52</v>
      </c>
      <c r="X12" s="17">
        <f t="shared" si="5"/>
        <v>122.47199999999999</v>
      </c>
      <c r="Y12" s="15">
        <v>0</v>
      </c>
      <c r="Z12" s="15">
        <v>200</v>
      </c>
      <c r="AA12" s="17">
        <f t="shared" si="6"/>
        <v>1773.992</v>
      </c>
      <c r="AB12" s="16">
        <f t="shared" si="7"/>
        <v>14555.608</v>
      </c>
      <c r="AD12" s="18"/>
    </row>
    <row r="13" spans="1:30">
      <c r="A13" s="4">
        <v>7</v>
      </c>
      <c r="B13" s="4" t="s">
        <v>79</v>
      </c>
      <c r="C13" s="4" t="s">
        <v>80</v>
      </c>
      <c r="D13" s="4" t="s">
        <v>81</v>
      </c>
      <c r="E13" s="4" t="s">
        <v>69</v>
      </c>
      <c r="F13" s="6">
        <v>45674</v>
      </c>
      <c r="G13" s="7" t="s">
        <v>53</v>
      </c>
      <c r="H13" s="5">
        <v>4455667722</v>
      </c>
      <c r="I13" s="5" t="s">
        <v>151</v>
      </c>
      <c r="J13" s="4">
        <v>1.2345678945464601E+19</v>
      </c>
      <c r="K13" s="4">
        <v>12345678910</v>
      </c>
      <c r="L13" s="8" t="s">
        <v>160</v>
      </c>
      <c r="M13" s="9" t="s">
        <v>153</v>
      </c>
      <c r="N13" s="4">
        <v>31</v>
      </c>
      <c r="O13" s="4">
        <v>0</v>
      </c>
      <c r="P13" s="10">
        <v>30</v>
      </c>
      <c r="Q13" s="11">
        <v>30000</v>
      </c>
      <c r="R13" s="12">
        <f t="shared" si="0"/>
        <v>29032.2580645161</v>
      </c>
      <c r="S13" s="13">
        <f t="shared" si="1"/>
        <v>3600</v>
      </c>
      <c r="T13" s="14">
        <f t="shared" si="2"/>
        <v>11760</v>
      </c>
      <c r="U13" s="15">
        <v>0</v>
      </c>
      <c r="V13" s="16">
        <f t="shared" si="3"/>
        <v>45360</v>
      </c>
      <c r="W13" s="17">
        <f t="shared" si="4"/>
        <v>1800</v>
      </c>
      <c r="X13" s="17">
        <f t="shared" si="5"/>
        <v>0</v>
      </c>
      <c r="Y13" s="15">
        <v>0</v>
      </c>
      <c r="Z13" s="15">
        <v>200</v>
      </c>
      <c r="AA13" s="17">
        <f t="shared" si="6"/>
        <v>2000</v>
      </c>
      <c r="AB13" s="16">
        <f t="shared" si="7"/>
        <v>43360</v>
      </c>
      <c r="AD13" s="18"/>
    </row>
    <row r="14" spans="1:30">
      <c r="A14" s="4">
        <v>8</v>
      </c>
      <c r="B14" s="4" t="s">
        <v>82</v>
      </c>
      <c r="C14" s="4" t="s">
        <v>83</v>
      </c>
      <c r="D14" s="4" t="s">
        <v>84</v>
      </c>
      <c r="E14" s="4" t="s">
        <v>69</v>
      </c>
      <c r="F14" s="6">
        <v>45675</v>
      </c>
      <c r="G14" s="7" t="s">
        <v>53</v>
      </c>
      <c r="H14" s="5">
        <v>4455667722</v>
      </c>
      <c r="I14" s="5" t="s">
        <v>151</v>
      </c>
      <c r="J14" s="4">
        <v>1.2345678945464601E+19</v>
      </c>
      <c r="K14" s="4">
        <v>12345678910</v>
      </c>
      <c r="L14" s="8" t="s">
        <v>161</v>
      </c>
      <c r="M14" s="9" t="s">
        <v>153</v>
      </c>
      <c r="N14" s="4">
        <v>31</v>
      </c>
      <c r="O14" s="4">
        <v>2</v>
      </c>
      <c r="P14" s="10">
        <v>29</v>
      </c>
      <c r="Q14" s="11">
        <v>21000</v>
      </c>
      <c r="R14" s="12">
        <f t="shared" si="0"/>
        <v>19645.161290322601</v>
      </c>
      <c r="S14" s="13">
        <f t="shared" si="1"/>
        <v>2520</v>
      </c>
      <c r="T14" s="14">
        <f t="shared" si="2"/>
        <v>8232</v>
      </c>
      <c r="U14" s="15">
        <v>0</v>
      </c>
      <c r="V14" s="16">
        <f t="shared" si="3"/>
        <v>31752</v>
      </c>
      <c r="W14" s="17">
        <f t="shared" si="4"/>
        <v>1800</v>
      </c>
      <c r="X14" s="17">
        <f t="shared" si="5"/>
        <v>0</v>
      </c>
      <c r="Y14" s="15">
        <v>0</v>
      </c>
      <c r="Z14" s="15">
        <v>200</v>
      </c>
      <c r="AA14" s="17">
        <f t="shared" si="6"/>
        <v>2000</v>
      </c>
      <c r="AB14" s="16">
        <f t="shared" si="7"/>
        <v>29752</v>
      </c>
      <c r="AD14" s="18"/>
    </row>
    <row r="15" spans="1:30">
      <c r="A15" s="4">
        <v>9</v>
      </c>
      <c r="B15" s="4" t="s">
        <v>85</v>
      </c>
      <c r="C15" s="4" t="s">
        <v>86</v>
      </c>
      <c r="D15" s="4" t="s">
        <v>64</v>
      </c>
      <c r="E15" s="4" t="s">
        <v>69</v>
      </c>
      <c r="F15" s="6">
        <v>45676</v>
      </c>
      <c r="G15" s="7" t="s">
        <v>53</v>
      </c>
      <c r="H15" s="5">
        <v>4455667722</v>
      </c>
      <c r="I15" s="5" t="s">
        <v>151</v>
      </c>
      <c r="J15" s="4">
        <v>1.2345678945464601E+19</v>
      </c>
      <c r="K15" s="4">
        <v>12345678910</v>
      </c>
      <c r="L15" s="8" t="s">
        <v>162</v>
      </c>
      <c r="M15" s="9" t="s">
        <v>153</v>
      </c>
      <c r="N15" s="4">
        <v>31</v>
      </c>
      <c r="O15" s="4">
        <v>1</v>
      </c>
      <c r="P15" s="10">
        <v>29</v>
      </c>
      <c r="Q15" s="11">
        <v>9000</v>
      </c>
      <c r="R15" s="12">
        <f t="shared" si="0"/>
        <v>8419.3548387096798</v>
      </c>
      <c r="S15" s="13">
        <f t="shared" si="1"/>
        <v>1080</v>
      </c>
      <c r="T15" s="14">
        <f t="shared" si="2"/>
        <v>3528</v>
      </c>
      <c r="U15" s="15">
        <v>0</v>
      </c>
      <c r="V15" s="16">
        <f t="shared" si="3"/>
        <v>13608</v>
      </c>
      <c r="W15" s="17">
        <f t="shared" si="4"/>
        <v>1209.5999999999999</v>
      </c>
      <c r="X15" s="17">
        <f t="shared" si="5"/>
        <v>102.06</v>
      </c>
      <c r="Y15" s="15">
        <v>0</v>
      </c>
      <c r="Z15" s="15">
        <v>200</v>
      </c>
      <c r="AA15" s="17">
        <f t="shared" si="6"/>
        <v>1511.66</v>
      </c>
      <c r="AB15" s="16">
        <f t="shared" si="7"/>
        <v>12096.34</v>
      </c>
      <c r="AD15" s="18"/>
    </row>
    <row r="16" spans="1:30">
      <c r="A16" s="4">
        <v>10</v>
      </c>
      <c r="B16" s="4" t="s">
        <v>87</v>
      </c>
      <c r="C16" s="4" t="s">
        <v>88</v>
      </c>
      <c r="D16" s="4" t="s">
        <v>89</v>
      </c>
      <c r="E16" s="4" t="s">
        <v>69</v>
      </c>
      <c r="F16" s="6">
        <v>45677</v>
      </c>
      <c r="G16" s="7" t="s">
        <v>53</v>
      </c>
      <c r="H16" s="5">
        <v>4455667722</v>
      </c>
      <c r="I16" s="5" t="s">
        <v>151</v>
      </c>
      <c r="J16" s="4">
        <v>1.2345678945464601E+19</v>
      </c>
      <c r="K16" s="4">
        <v>12345678910</v>
      </c>
      <c r="L16" s="8" t="s">
        <v>156</v>
      </c>
      <c r="M16" s="9" t="s">
        <v>157</v>
      </c>
      <c r="N16" s="4">
        <v>31</v>
      </c>
      <c r="O16" s="4">
        <v>2</v>
      </c>
      <c r="P16" s="10">
        <v>26</v>
      </c>
      <c r="Q16" s="11">
        <v>8100</v>
      </c>
      <c r="R16" s="12">
        <f t="shared" si="0"/>
        <v>6793.5483870967701</v>
      </c>
      <c r="S16" s="13">
        <f t="shared" si="1"/>
        <v>972</v>
      </c>
      <c r="T16" s="14">
        <f t="shared" si="2"/>
        <v>3175.2</v>
      </c>
      <c r="U16" s="15">
        <v>0</v>
      </c>
      <c r="V16" s="16">
        <f t="shared" si="3"/>
        <v>12247.2</v>
      </c>
      <c r="W16" s="17">
        <f t="shared" si="4"/>
        <v>1088.6400000000001</v>
      </c>
      <c r="X16" s="17">
        <f t="shared" si="5"/>
        <v>91.853999999999999</v>
      </c>
      <c r="Y16" s="15">
        <v>0</v>
      </c>
      <c r="Z16" s="15">
        <v>200</v>
      </c>
      <c r="AA16" s="17">
        <f t="shared" si="6"/>
        <v>1380.4939999999999</v>
      </c>
      <c r="AB16" s="16">
        <f t="shared" si="7"/>
        <v>10866.706</v>
      </c>
      <c r="AD16" s="18"/>
    </row>
    <row r="17" spans="1:30">
      <c r="A17" s="4">
        <v>11</v>
      </c>
      <c r="B17" s="4" t="s">
        <v>90</v>
      </c>
      <c r="C17" s="4" t="s">
        <v>91</v>
      </c>
      <c r="D17" s="4" t="s">
        <v>92</v>
      </c>
      <c r="E17" s="4" t="s">
        <v>69</v>
      </c>
      <c r="F17" s="6">
        <v>45678</v>
      </c>
      <c r="G17" s="7" t="s">
        <v>53</v>
      </c>
      <c r="H17" s="5">
        <v>4455667722</v>
      </c>
      <c r="I17" s="5" t="s">
        <v>151</v>
      </c>
      <c r="J17" s="4">
        <v>1.2345678945464601E+19</v>
      </c>
      <c r="K17" s="4">
        <v>12345678910</v>
      </c>
      <c r="L17" s="8" t="s">
        <v>163</v>
      </c>
      <c r="M17" s="9" t="s">
        <v>157</v>
      </c>
      <c r="N17" s="4">
        <v>31</v>
      </c>
      <c r="O17" s="4">
        <v>1</v>
      </c>
      <c r="P17" s="10">
        <v>29</v>
      </c>
      <c r="Q17" s="11">
        <v>16258.064516128999</v>
      </c>
      <c r="R17" s="12">
        <f t="shared" si="0"/>
        <v>15209.157127991601</v>
      </c>
      <c r="S17" s="13">
        <f t="shared" si="1"/>
        <v>1950.96774193548</v>
      </c>
      <c r="T17" s="14">
        <f t="shared" si="2"/>
        <v>6373.1612903225696</v>
      </c>
      <c r="U17" s="15">
        <v>0</v>
      </c>
      <c r="V17" s="16">
        <f t="shared" si="3"/>
        <v>24582.193548387</v>
      </c>
      <c r="W17" s="17">
        <f t="shared" si="4"/>
        <v>1800</v>
      </c>
      <c r="X17" s="17">
        <f t="shared" si="5"/>
        <v>0</v>
      </c>
      <c r="Y17" s="15">
        <v>0</v>
      </c>
      <c r="Z17" s="15">
        <v>200</v>
      </c>
      <c r="AA17" s="17">
        <f t="shared" si="6"/>
        <v>2000</v>
      </c>
      <c r="AB17" s="16">
        <f t="shared" si="7"/>
        <v>22582.193548387</v>
      </c>
      <c r="AD17" s="18"/>
    </row>
    <row r="18" spans="1:30">
      <c r="A18" s="4">
        <v>12</v>
      </c>
      <c r="B18" s="4" t="s">
        <v>93</v>
      </c>
      <c r="C18" s="4" t="s">
        <v>94</v>
      </c>
      <c r="D18" s="4" t="s">
        <v>95</v>
      </c>
      <c r="E18" s="4" t="s">
        <v>69</v>
      </c>
      <c r="F18" s="6">
        <v>45679</v>
      </c>
      <c r="G18" s="7" t="s">
        <v>53</v>
      </c>
      <c r="H18" s="5">
        <v>4455667722</v>
      </c>
      <c r="I18" s="5" t="s">
        <v>151</v>
      </c>
      <c r="J18" s="4">
        <v>1.2345678945464601E+19</v>
      </c>
      <c r="K18" s="4">
        <v>12345678910</v>
      </c>
      <c r="L18" s="8" t="s">
        <v>164</v>
      </c>
      <c r="M18" s="9" t="s">
        <v>157</v>
      </c>
      <c r="N18" s="4">
        <v>31</v>
      </c>
      <c r="O18" s="4">
        <v>2</v>
      </c>
      <c r="P18" s="10">
        <v>27</v>
      </c>
      <c r="Q18" s="11">
        <v>4451.6129032258104</v>
      </c>
      <c r="R18" s="12">
        <f t="shared" si="0"/>
        <v>3877.2112382934502</v>
      </c>
      <c r="S18" s="13">
        <f t="shared" si="1"/>
        <v>534.19354838709705</v>
      </c>
      <c r="T18" s="14">
        <f t="shared" si="2"/>
        <v>1745.03225806452</v>
      </c>
      <c r="U18" s="15">
        <v>0</v>
      </c>
      <c r="V18" s="16">
        <f t="shared" si="3"/>
        <v>6730.8387096774304</v>
      </c>
      <c r="W18" s="17">
        <f t="shared" si="4"/>
        <v>598.29677419354903</v>
      </c>
      <c r="X18" s="17">
        <f t="shared" si="5"/>
        <v>50.481290322580698</v>
      </c>
      <c r="Y18" s="15">
        <v>0</v>
      </c>
      <c r="Z18" s="15">
        <v>200</v>
      </c>
      <c r="AA18" s="17">
        <f t="shared" si="6"/>
        <v>848.77806451613003</v>
      </c>
      <c r="AB18" s="16">
        <f t="shared" si="7"/>
        <v>5882.0606451613003</v>
      </c>
      <c r="AD18" s="18"/>
    </row>
    <row r="19" spans="1:30">
      <c r="A19" s="4">
        <v>13</v>
      </c>
      <c r="B19" s="4" t="s">
        <v>96</v>
      </c>
      <c r="C19" s="4" t="s">
        <v>97</v>
      </c>
      <c r="D19" s="4" t="s">
        <v>98</v>
      </c>
      <c r="E19" s="4" t="s">
        <v>69</v>
      </c>
      <c r="F19" s="6">
        <v>45680</v>
      </c>
      <c r="G19" s="7" t="s">
        <v>53</v>
      </c>
      <c r="H19" s="5">
        <v>4455667722</v>
      </c>
      <c r="I19" s="5" t="s">
        <v>151</v>
      </c>
      <c r="J19" s="4">
        <v>1.2345678945464601E+19</v>
      </c>
      <c r="K19" s="4">
        <v>12345678910</v>
      </c>
      <c r="L19" s="8" t="s">
        <v>160</v>
      </c>
      <c r="M19" s="9" t="s">
        <v>153</v>
      </c>
      <c r="N19" s="4">
        <v>31</v>
      </c>
      <c r="O19" s="4">
        <v>0</v>
      </c>
      <c r="P19" s="10">
        <v>29</v>
      </c>
      <c r="Q19" s="11">
        <v>5419.3548387096798</v>
      </c>
      <c r="R19" s="12">
        <f t="shared" si="0"/>
        <v>5069.7190426638899</v>
      </c>
      <c r="S19" s="13">
        <f t="shared" si="1"/>
        <v>650.32258064516202</v>
      </c>
      <c r="T19" s="14">
        <f t="shared" si="2"/>
        <v>2124.38709677419</v>
      </c>
      <c r="U19" s="15">
        <v>0</v>
      </c>
      <c r="V19" s="16">
        <f t="shared" si="3"/>
        <v>8194.0645161290395</v>
      </c>
      <c r="W19" s="17">
        <f t="shared" si="4"/>
        <v>728.361290322581</v>
      </c>
      <c r="X19" s="17">
        <f t="shared" si="5"/>
        <v>61.455483870967797</v>
      </c>
      <c r="Y19" s="15">
        <v>0</v>
      </c>
      <c r="Z19" s="15">
        <v>200</v>
      </c>
      <c r="AA19" s="17">
        <f t="shared" si="6"/>
        <v>989.81677419354901</v>
      </c>
      <c r="AB19" s="16">
        <f t="shared" si="7"/>
        <v>7204.24774193549</v>
      </c>
      <c r="AD19" s="18"/>
    </row>
    <row r="20" spans="1:30">
      <c r="A20" s="4">
        <v>14</v>
      </c>
      <c r="B20" s="4" t="s">
        <v>99</v>
      </c>
      <c r="C20" s="4" t="s">
        <v>100</v>
      </c>
      <c r="D20" s="4" t="s">
        <v>64</v>
      </c>
      <c r="E20" s="4" t="s">
        <v>55</v>
      </c>
      <c r="F20" s="6">
        <v>45681</v>
      </c>
      <c r="G20" s="7" t="s">
        <v>53</v>
      </c>
      <c r="H20" s="5">
        <v>4455667722</v>
      </c>
      <c r="I20" s="5" t="s">
        <v>151</v>
      </c>
      <c r="J20" s="4">
        <v>1.2345678945464601E+19</v>
      </c>
      <c r="K20" s="4">
        <v>12345678910</v>
      </c>
      <c r="L20" s="8" t="s">
        <v>160</v>
      </c>
      <c r="M20" s="9" t="s">
        <v>153</v>
      </c>
      <c r="N20" s="4">
        <v>31</v>
      </c>
      <c r="O20" s="4">
        <v>0</v>
      </c>
      <c r="P20" s="10">
        <v>30</v>
      </c>
      <c r="Q20" s="11">
        <v>10103.225806451601</v>
      </c>
      <c r="R20" s="12">
        <f t="shared" si="0"/>
        <v>9777.3152965660702</v>
      </c>
      <c r="S20" s="13">
        <f t="shared" si="1"/>
        <v>1212.38709677419</v>
      </c>
      <c r="T20" s="14">
        <f t="shared" si="2"/>
        <v>3960.46451612903</v>
      </c>
      <c r="U20" s="15">
        <v>0</v>
      </c>
      <c r="V20" s="16">
        <f t="shared" si="3"/>
        <v>15276.0774193548</v>
      </c>
      <c r="W20" s="17">
        <f t="shared" si="4"/>
        <v>1357.8735483871001</v>
      </c>
      <c r="X20" s="17">
        <f t="shared" si="5"/>
        <v>114.570580645161</v>
      </c>
      <c r="Y20" s="15">
        <v>0</v>
      </c>
      <c r="Z20" s="15">
        <v>200</v>
      </c>
      <c r="AA20" s="17">
        <f t="shared" si="6"/>
        <v>1672.44412903226</v>
      </c>
      <c r="AB20" s="16">
        <f t="shared" si="7"/>
        <v>13603.633290322599</v>
      </c>
      <c r="AD20" s="18"/>
    </row>
    <row r="21" spans="1:30">
      <c r="A21" s="4">
        <v>15</v>
      </c>
      <c r="B21" s="4" t="s">
        <v>101</v>
      </c>
      <c r="C21" s="4" t="s">
        <v>102</v>
      </c>
      <c r="D21" s="4" t="s">
        <v>68</v>
      </c>
      <c r="E21" s="4" t="s">
        <v>69</v>
      </c>
      <c r="F21" s="6">
        <v>45682</v>
      </c>
      <c r="G21" s="7" t="s">
        <v>53</v>
      </c>
      <c r="H21" s="5">
        <v>4455667722</v>
      </c>
      <c r="I21" s="5" t="s">
        <v>151</v>
      </c>
      <c r="J21" s="4">
        <v>1.2345678945464601E+19</v>
      </c>
      <c r="K21" s="4">
        <v>12345678910</v>
      </c>
      <c r="L21" s="8" t="s">
        <v>161</v>
      </c>
      <c r="M21" s="9" t="s">
        <v>153</v>
      </c>
      <c r="N21" s="4">
        <v>31</v>
      </c>
      <c r="O21" s="4">
        <v>6</v>
      </c>
      <c r="P21" s="10">
        <v>25</v>
      </c>
      <c r="Q21" s="11">
        <v>15600</v>
      </c>
      <c r="R21" s="12">
        <f t="shared" si="0"/>
        <v>12580.6451612903</v>
      </c>
      <c r="S21" s="13">
        <f t="shared" si="1"/>
        <v>1872</v>
      </c>
      <c r="T21" s="14">
        <f t="shared" si="2"/>
        <v>6115.2</v>
      </c>
      <c r="U21" s="15">
        <v>0</v>
      </c>
      <c r="V21" s="16">
        <f t="shared" si="3"/>
        <v>23587.200000000001</v>
      </c>
      <c r="W21" s="17">
        <f t="shared" si="4"/>
        <v>1800</v>
      </c>
      <c r="X21" s="17">
        <f t="shared" si="5"/>
        <v>0</v>
      </c>
      <c r="Y21" s="15">
        <v>0</v>
      </c>
      <c r="Z21" s="15">
        <v>200</v>
      </c>
      <c r="AA21" s="17">
        <f t="shared" si="6"/>
        <v>2000</v>
      </c>
      <c r="AB21" s="16">
        <f t="shared" si="7"/>
        <v>21587.200000000001</v>
      </c>
      <c r="AD21" s="18"/>
    </row>
    <row r="22" spans="1:30">
      <c r="A22" s="4">
        <v>16</v>
      </c>
      <c r="B22" s="4" t="s">
        <v>103</v>
      </c>
      <c r="C22" s="4" t="s">
        <v>104</v>
      </c>
      <c r="D22" s="4" t="s">
        <v>52</v>
      </c>
      <c r="E22" s="4" t="s">
        <v>69</v>
      </c>
      <c r="F22" s="6">
        <v>45683</v>
      </c>
      <c r="G22" s="7" t="s">
        <v>53</v>
      </c>
      <c r="H22" s="5">
        <v>4455667722</v>
      </c>
      <c r="I22" s="5" t="s">
        <v>151</v>
      </c>
      <c r="J22" s="4">
        <v>1.2345678945464601E+19</v>
      </c>
      <c r="K22" s="4">
        <v>12345678910</v>
      </c>
      <c r="L22" s="8" t="s">
        <v>162</v>
      </c>
      <c r="M22" s="9" t="s">
        <v>153</v>
      </c>
      <c r="N22" s="4">
        <v>31</v>
      </c>
      <c r="O22" s="4">
        <v>1</v>
      </c>
      <c r="P22" s="10">
        <v>30</v>
      </c>
      <c r="Q22" s="11">
        <v>13200</v>
      </c>
      <c r="R22" s="12">
        <f t="shared" si="0"/>
        <v>12774.1935483871</v>
      </c>
      <c r="S22" s="13">
        <f t="shared" si="1"/>
        <v>1584</v>
      </c>
      <c r="T22" s="14">
        <f t="shared" si="2"/>
        <v>5174.3999999999996</v>
      </c>
      <c r="U22" s="15">
        <v>0</v>
      </c>
      <c r="V22" s="16">
        <f t="shared" si="3"/>
        <v>19958.400000000001</v>
      </c>
      <c r="W22" s="17">
        <f t="shared" si="4"/>
        <v>1774.08</v>
      </c>
      <c r="X22" s="17">
        <f t="shared" si="5"/>
        <v>149.68799999999999</v>
      </c>
      <c r="Y22" s="15">
        <v>0</v>
      </c>
      <c r="Z22" s="15">
        <v>200</v>
      </c>
      <c r="AA22" s="17">
        <f t="shared" si="6"/>
        <v>2123.768</v>
      </c>
      <c r="AB22" s="16">
        <f t="shared" si="7"/>
        <v>17834.632000000001</v>
      </c>
      <c r="AD22" s="18"/>
    </row>
    <row r="23" spans="1:30">
      <c r="A23" s="4">
        <v>17</v>
      </c>
      <c r="B23" s="4" t="s">
        <v>105</v>
      </c>
      <c r="C23" s="4" t="s">
        <v>106</v>
      </c>
      <c r="D23" s="4" t="s">
        <v>64</v>
      </c>
      <c r="E23" s="4" t="s">
        <v>69</v>
      </c>
      <c r="F23" s="6">
        <v>45684</v>
      </c>
      <c r="G23" s="7" t="s">
        <v>53</v>
      </c>
      <c r="H23" s="5">
        <v>4455667722</v>
      </c>
      <c r="I23" s="5" t="s">
        <v>151</v>
      </c>
      <c r="J23" s="4">
        <v>1.2345678945464601E+19</v>
      </c>
      <c r="K23" s="4">
        <v>12345678910</v>
      </c>
      <c r="L23" s="8" t="s">
        <v>165</v>
      </c>
      <c r="M23" s="9" t="s">
        <v>153</v>
      </c>
      <c r="N23" s="4">
        <v>31</v>
      </c>
      <c r="O23" s="4">
        <v>0</v>
      </c>
      <c r="P23" s="10">
        <v>30</v>
      </c>
      <c r="Q23" s="11">
        <v>15000</v>
      </c>
      <c r="R23" s="12">
        <f t="shared" si="0"/>
        <v>14516.129032258101</v>
      </c>
      <c r="S23" s="13">
        <f t="shared" si="1"/>
        <v>1800</v>
      </c>
      <c r="T23" s="14">
        <f t="shared" si="2"/>
        <v>5880</v>
      </c>
      <c r="U23" s="15">
        <v>0</v>
      </c>
      <c r="V23" s="16">
        <f t="shared" si="3"/>
        <v>22680</v>
      </c>
      <c r="W23" s="17">
        <f t="shared" si="4"/>
        <v>1800</v>
      </c>
      <c r="X23" s="17">
        <f t="shared" si="5"/>
        <v>0</v>
      </c>
      <c r="Y23" s="15">
        <v>0</v>
      </c>
      <c r="Z23" s="15">
        <v>200</v>
      </c>
      <c r="AA23" s="17">
        <f t="shared" si="6"/>
        <v>2000</v>
      </c>
      <c r="AB23" s="16">
        <f t="shared" si="7"/>
        <v>20680</v>
      </c>
      <c r="AD23" s="18"/>
    </row>
    <row r="24" spans="1:30">
      <c r="A24" s="4">
        <v>18</v>
      </c>
      <c r="B24" s="4" t="s">
        <v>107</v>
      </c>
      <c r="C24" s="4" t="s">
        <v>108</v>
      </c>
      <c r="D24" s="4" t="s">
        <v>52</v>
      </c>
      <c r="E24" s="4" t="s">
        <v>69</v>
      </c>
      <c r="F24" s="6">
        <v>45685</v>
      </c>
      <c r="G24" s="7" t="s">
        <v>53</v>
      </c>
      <c r="H24" s="5">
        <v>4455667722</v>
      </c>
      <c r="I24" s="5" t="s">
        <v>151</v>
      </c>
      <c r="J24" s="4">
        <v>1.2345678945464601E+19</v>
      </c>
      <c r="K24" s="4">
        <v>12345678910</v>
      </c>
      <c r="L24" s="8" t="s">
        <v>166</v>
      </c>
      <c r="M24" s="9" t="s">
        <v>153</v>
      </c>
      <c r="N24" s="4">
        <v>31</v>
      </c>
      <c r="O24" s="4">
        <v>0</v>
      </c>
      <c r="P24" s="10">
        <v>31</v>
      </c>
      <c r="Q24" s="11">
        <v>7500</v>
      </c>
      <c r="R24" s="12">
        <f t="shared" si="0"/>
        <v>7500</v>
      </c>
      <c r="S24" s="13">
        <f t="shared" si="1"/>
        <v>900</v>
      </c>
      <c r="T24" s="14">
        <f t="shared" si="2"/>
        <v>2940</v>
      </c>
      <c r="U24" s="15">
        <v>0</v>
      </c>
      <c r="V24" s="16">
        <f t="shared" si="3"/>
        <v>11340</v>
      </c>
      <c r="W24" s="17">
        <f t="shared" si="4"/>
        <v>1008</v>
      </c>
      <c r="X24" s="17">
        <f t="shared" si="5"/>
        <v>85.05</v>
      </c>
      <c r="Y24" s="15">
        <v>0</v>
      </c>
      <c r="Z24" s="15">
        <v>200</v>
      </c>
      <c r="AA24" s="17">
        <f t="shared" si="6"/>
        <v>1293.05</v>
      </c>
      <c r="AB24" s="16">
        <f t="shared" si="7"/>
        <v>10046.950000000001</v>
      </c>
      <c r="AD24" s="18"/>
    </row>
    <row r="25" spans="1:30">
      <c r="A25" s="4">
        <v>19</v>
      </c>
      <c r="B25" s="4" t="s">
        <v>109</v>
      </c>
      <c r="C25" s="4" t="s">
        <v>110</v>
      </c>
      <c r="D25" s="4" t="s">
        <v>52</v>
      </c>
      <c r="E25" s="4" t="s">
        <v>69</v>
      </c>
      <c r="F25" s="6">
        <v>45686</v>
      </c>
      <c r="G25" s="7" t="s">
        <v>53</v>
      </c>
      <c r="H25" s="5">
        <v>4455667722</v>
      </c>
      <c r="I25" s="5" t="s">
        <v>151</v>
      </c>
      <c r="J25" s="4">
        <v>1.2345678945464601E+19</v>
      </c>
      <c r="K25" s="4">
        <v>12345678910</v>
      </c>
      <c r="L25" s="8" t="s">
        <v>161</v>
      </c>
      <c r="M25" s="9" t="s">
        <v>153</v>
      </c>
      <c r="N25" s="4">
        <v>31</v>
      </c>
      <c r="O25" s="4">
        <v>0</v>
      </c>
      <c r="P25" s="10">
        <v>31</v>
      </c>
      <c r="Q25" s="11">
        <v>15000</v>
      </c>
      <c r="R25" s="12">
        <f t="shared" si="0"/>
        <v>15000</v>
      </c>
      <c r="S25" s="13">
        <f t="shared" si="1"/>
        <v>1800</v>
      </c>
      <c r="T25" s="14">
        <f t="shared" si="2"/>
        <v>5880</v>
      </c>
      <c r="U25" s="15">
        <v>0</v>
      </c>
      <c r="V25" s="16">
        <f t="shared" si="3"/>
        <v>22680</v>
      </c>
      <c r="W25" s="17">
        <f t="shared" si="4"/>
        <v>1800</v>
      </c>
      <c r="X25" s="17">
        <f t="shared" si="5"/>
        <v>0</v>
      </c>
      <c r="Y25" s="15">
        <v>0</v>
      </c>
      <c r="Z25" s="15">
        <v>200</v>
      </c>
      <c r="AA25" s="17">
        <f t="shared" si="6"/>
        <v>2000</v>
      </c>
      <c r="AB25" s="16">
        <f t="shared" si="7"/>
        <v>20680</v>
      </c>
      <c r="AD25" s="18"/>
    </row>
    <row r="26" spans="1:30">
      <c r="A26" s="4">
        <v>20</v>
      </c>
      <c r="B26" s="4" t="s">
        <v>111</v>
      </c>
      <c r="C26" s="4" t="s">
        <v>112</v>
      </c>
      <c r="D26" s="4" t="s">
        <v>68</v>
      </c>
      <c r="E26" s="4" t="s">
        <v>69</v>
      </c>
      <c r="F26" s="6">
        <v>45687</v>
      </c>
      <c r="G26" s="7" t="s">
        <v>53</v>
      </c>
      <c r="H26" s="5">
        <v>4455667722</v>
      </c>
      <c r="I26" s="5" t="s">
        <v>151</v>
      </c>
      <c r="J26" s="4">
        <v>1.2345678945464601E+19</v>
      </c>
      <c r="K26" s="4">
        <v>12345678910</v>
      </c>
      <c r="L26" s="8" t="s">
        <v>162</v>
      </c>
      <c r="M26" s="9" t="s">
        <v>153</v>
      </c>
      <c r="N26" s="4">
        <v>31</v>
      </c>
      <c r="O26" s="4">
        <v>0</v>
      </c>
      <c r="P26" s="10">
        <v>31</v>
      </c>
      <c r="Q26" s="11">
        <v>15000</v>
      </c>
      <c r="R26" s="12">
        <f t="shared" si="0"/>
        <v>15000</v>
      </c>
      <c r="S26" s="13">
        <f t="shared" si="1"/>
        <v>1800</v>
      </c>
      <c r="T26" s="14">
        <f t="shared" si="2"/>
        <v>5880</v>
      </c>
      <c r="U26" s="15">
        <v>0</v>
      </c>
      <c r="V26" s="16">
        <f t="shared" si="3"/>
        <v>22680</v>
      </c>
      <c r="W26" s="17">
        <f t="shared" si="4"/>
        <v>1800</v>
      </c>
      <c r="X26" s="17">
        <f t="shared" si="5"/>
        <v>0</v>
      </c>
      <c r="Y26" s="15">
        <v>0</v>
      </c>
      <c r="Z26" s="15">
        <v>200</v>
      </c>
      <c r="AA26" s="17">
        <f t="shared" si="6"/>
        <v>2000</v>
      </c>
      <c r="AB26" s="16">
        <f t="shared" si="7"/>
        <v>20680</v>
      </c>
      <c r="AD26" s="18"/>
    </row>
  </sheetData>
  <mergeCells count="38">
    <mergeCell ref="AB5:AB6"/>
    <mergeCell ref="AD5:AD6"/>
    <mergeCell ref="W5:W6"/>
    <mergeCell ref="X5:X6"/>
    <mergeCell ref="Y5:Y6"/>
    <mergeCell ref="Z5:Z6"/>
    <mergeCell ref="AA5:AA6"/>
    <mergeCell ref="R5:R6"/>
    <mergeCell ref="S5:S6"/>
    <mergeCell ref="T5:T6"/>
    <mergeCell ref="U5:U6"/>
    <mergeCell ref="V5:V6"/>
    <mergeCell ref="M5:M6"/>
    <mergeCell ref="N5:N6"/>
    <mergeCell ref="O5:O6"/>
    <mergeCell ref="P5:P6"/>
    <mergeCell ref="Q5:Q6"/>
    <mergeCell ref="A4:G4"/>
    <mergeCell ref="H4:J4"/>
    <mergeCell ref="K4:M4"/>
    <mergeCell ref="N4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A1:B1"/>
    <mergeCell ref="C1:AB1"/>
    <mergeCell ref="A2:B2"/>
    <mergeCell ref="C2:AB2"/>
    <mergeCell ref="A3:AB3"/>
  </mergeCells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Other</vt:lpstr>
      <vt:lpstr>Attendance</vt:lpstr>
      <vt:lpstr>Overtime</vt:lpstr>
      <vt:lpstr>Payroll</vt:lpstr>
      <vt:lpstr>Holiday</vt:lpstr>
      <vt:lpstr>Month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2026-05-08T11:57:00Z</dcterms:created>
  <dcterms:modified xsi:type="dcterms:W3CDTF">2026-05-10T16:12:20Z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22B5044A43944E629B39D4DAAD373F67_12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